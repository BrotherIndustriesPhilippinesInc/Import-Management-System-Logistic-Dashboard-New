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fileSharing readOnlyRecommended="1" userName="Ladra, Kristine (BIPH-SHIP)" algorithmName="SHA-512" hashValue="QV2nLKJBQ3B+AdffK/Q75T1dp+5AzHEg5HJtxV7mC/iJS1YkQA/TJGpCaCuYK/hoRGJZAa4djSR0uC5pJK1Mjw==" saltValue="XBngwm/WidWFpMmf7489Lg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\\apbiphsh07\D0_ShareBrotherGroup\13_Ship\00. Outbound Request\00._Outbound Request\00. Outbound Request\"/>
    </mc:Choice>
  </mc:AlternateContent>
  <xr:revisionPtr revIDLastSave="0" documentId="13_ncr:10001_{ED15656C-00BD-4CFF-9159-7D2B47CBEFE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TOP PAGE" sheetId="1" r:id="rId1"/>
    <sheet name="CARGO" sheetId="2" state="hidden" r:id="rId2"/>
    <sheet name="DOCS" sheetId="3" state="hidden" r:id="rId3"/>
    <sheet name="LABEL_CARGO" sheetId="4" state="hidden" r:id="rId4"/>
    <sheet name="LABEL_DOCS" sheetId="5" state="hidden" r:id="rId5"/>
    <sheet name="REF" sheetId="6" state="hidden" r:id="rId6"/>
    <sheet name="Summary" sheetId="7" state="hidden" r:id="rId7"/>
    <sheet name="INV" sheetId="8" state="hidden" r:id="rId8"/>
    <sheet name="PL" sheetId="9" state="hidden" r:id="rId9"/>
  </sheets>
  <externalReferences>
    <externalReference r:id="rId10"/>
  </externalReferences>
  <definedNames>
    <definedName name="_xlnm._FilterDatabase" localSheetId="3" hidden="1">LABEL_CARGO!$A$12:$J$12</definedName>
    <definedName name="_xlnm._FilterDatabase" localSheetId="4" hidden="1">LABEL_DOCS!$A$5:$J$5</definedName>
    <definedName name="Mode">Summary!$I$1:$I$5</definedName>
    <definedName name="_xlnm.Print_Area" localSheetId="1">CARGO!$A$1:$S$59</definedName>
    <definedName name="_xlnm.Print_Area" localSheetId="2">DOCS!$A$1:$J$60</definedName>
    <definedName name="_xlnm.Print_Area" localSheetId="7">INV!$A$1:$H$64</definedName>
    <definedName name="_xlnm.Print_Area" localSheetId="3">LABEL_CARGO!$A$1:$J$20</definedName>
    <definedName name="_xlnm.Print_Area" localSheetId="4">LABEL_DOCS!$A$1:$J$12</definedName>
    <definedName name="_xlnm.Print_Area" localSheetId="8">PL!$A$1:$I$70</definedName>
    <definedName name="REFNUM">OFFSET([1]Sheet1!$C$1,0,0,COUNTA([1]Sheet1!$C$1:$C$120)-COUNTBLANK([1]Sheet1!$C$1:$C$120),1)</definedName>
    <definedName name="Z_4B015FDF_9B91_4C19_94DC_2D01C0F4C824_.wvu.FilterData" localSheetId="3" hidden="1">LABEL_CARGO!$A$12:$J$12</definedName>
    <definedName name="Z_4B015FDF_9B91_4C19_94DC_2D01C0F4C824_.wvu.FilterData" localSheetId="4" hidden="1">LABEL_DOCS!$A$5:$J$5</definedName>
    <definedName name="Z_4B015FDF_9B91_4C19_94DC_2D01C0F4C824_.wvu.PrintArea" localSheetId="3" hidden="1">LABEL_CARGO!$A$1:$J$19</definedName>
    <definedName name="Z_4B015FDF_9B91_4C19_94DC_2D01C0F4C824_.wvu.PrintArea" localSheetId="4" hidden="1">LABEL_DOCS!$A$1:$J$11</definedName>
    <definedName name="Z_B917A2D9_9544_4879_AB10_D367CD87C30A_.wvu.Cols" localSheetId="1" hidden="1">CARGO!$T:$Y</definedName>
    <definedName name="Z_B917A2D9_9544_4879_AB10_D367CD87C30A_.wvu.Cols" localSheetId="2" hidden="1">DOCS!$K:$M</definedName>
    <definedName name="Z_B917A2D9_9544_4879_AB10_D367CD87C30A_.wvu.Cols" localSheetId="7" hidden="1">INV!$L:$M</definedName>
    <definedName name="Z_B917A2D9_9544_4879_AB10_D367CD87C30A_.wvu.Cols" localSheetId="3" hidden="1">LABEL_CARGO!$T:$Y</definedName>
    <definedName name="Z_B917A2D9_9544_4879_AB10_D367CD87C30A_.wvu.Cols" localSheetId="4" hidden="1">LABEL_DOCS!$N:$N</definedName>
    <definedName name="Z_B917A2D9_9544_4879_AB10_D367CD87C30A_.wvu.FilterData" localSheetId="3" hidden="1">LABEL_CARGO!$A$12:$J$12</definedName>
    <definedName name="Z_B917A2D9_9544_4879_AB10_D367CD87C30A_.wvu.FilterData" localSheetId="4" hidden="1">LABEL_DOCS!$A$5:$J$5</definedName>
    <definedName name="Z_B917A2D9_9544_4879_AB10_D367CD87C30A_.wvu.PrintArea" localSheetId="1" hidden="1">CARGO!$A$1:$S$59</definedName>
    <definedName name="Z_B917A2D9_9544_4879_AB10_D367CD87C30A_.wvu.PrintArea" localSheetId="2" hidden="1">DOCS!$A$1:$J$60</definedName>
    <definedName name="Z_B917A2D9_9544_4879_AB10_D367CD87C30A_.wvu.PrintArea" localSheetId="7" hidden="1">INV!$A$1:$H$64</definedName>
    <definedName name="Z_B917A2D9_9544_4879_AB10_D367CD87C30A_.wvu.PrintArea" localSheetId="3" hidden="1">LABEL_CARGO!$A$1:$J$20</definedName>
    <definedName name="Z_B917A2D9_9544_4879_AB10_D367CD87C30A_.wvu.PrintArea" localSheetId="4" hidden="1">LABEL_DOCS!$A$1:$J$11</definedName>
    <definedName name="Z_B917A2D9_9544_4879_AB10_D367CD87C30A_.wvu.PrintArea" localSheetId="8" hidden="1">PL!$A$1:$I$70</definedName>
  </definedNames>
  <calcPr calcId="191029" calcMode="manual"/>
  <customWorkbookViews>
    <customWorkbookView name="Santos, Nikka (BIPH-SHIP) - Personal View" guid="{B917A2D9-9544-4879-AB10-D367CD87C30A}" mergeInterval="0" personalView="1" maximized="1" xWindow="-8" yWindow="-8" windowWidth="161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4" i="9" l="1"/>
  <c r="D54" i="9"/>
  <c r="E54" i="9"/>
  <c r="C55" i="9"/>
  <c r="D55" i="9"/>
  <c r="E55" i="9"/>
  <c r="C56" i="9"/>
  <c r="D56" i="9"/>
  <c r="E56" i="9"/>
  <c r="C57" i="9"/>
  <c r="D57" i="9"/>
  <c r="E57" i="9"/>
  <c r="E53" i="9"/>
  <c r="D53" i="9"/>
  <c r="C53" i="9"/>
  <c r="B6" i="5" l="1"/>
  <c r="B2" i="5" l="1"/>
  <c r="B10" i="5" l="1"/>
  <c r="B9" i="5"/>
  <c r="B8" i="5"/>
  <c r="B7" i="5"/>
  <c r="B5" i="5"/>
  <c r="B3" i="5"/>
  <c r="K2" i="3"/>
  <c r="K3" i="3" s="1"/>
  <c r="Y3" i="2"/>
  <c r="B10" i="4"/>
  <c r="W2" i="2"/>
  <c r="X1" i="2" s="1"/>
  <c r="A57" i="8" l="1"/>
  <c r="B22" i="8"/>
  <c r="B22" i="9" s="1"/>
  <c r="B21" i="8"/>
  <c r="B21" i="9" s="1"/>
  <c r="B20" i="8"/>
  <c r="B20" i="9" s="1"/>
  <c r="B19" i="8"/>
  <c r="B19" i="9" s="1"/>
  <c r="B18" i="8"/>
  <c r="B18" i="9" s="1"/>
  <c r="B17" i="8"/>
  <c r="B17" i="9" s="1"/>
  <c r="F5" i="8"/>
  <c r="C14" i="8"/>
  <c r="C14" i="9" s="1"/>
  <c r="C13" i="8"/>
  <c r="C13" i="9" s="1"/>
  <c r="B12" i="8"/>
  <c r="B12" i="9" s="1"/>
  <c r="B11" i="8"/>
  <c r="B11" i="9" s="1"/>
  <c r="B10" i="8"/>
  <c r="B10" i="9" s="1"/>
  <c r="B9" i="8"/>
  <c r="B9" i="9" s="1"/>
  <c r="A24" i="9"/>
  <c r="B12" i="5" l="1"/>
  <c r="B20" i="4" l="1"/>
  <c r="B18" i="4"/>
  <c r="B17" i="4"/>
  <c r="B16" i="4"/>
  <c r="B15" i="4"/>
  <c r="B14" i="4"/>
  <c r="B13" i="4"/>
  <c r="B12" i="4"/>
  <c r="B2" i="4"/>
  <c r="H5" i="4" l="1"/>
  <c r="B3" i="4"/>
  <c r="B4" i="4"/>
  <c r="B5" i="4"/>
  <c r="B6" i="4"/>
  <c r="B7" i="4"/>
  <c r="B8" i="4"/>
  <c r="B9" i="4"/>
  <c r="U4" i="2"/>
  <c r="U3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W27" i="2"/>
  <c r="V3" i="2"/>
  <c r="V4" i="2" s="1"/>
  <c r="H5" i="2" s="1"/>
  <c r="Y4" i="2" l="1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Q34" i="2" l="1"/>
  <c r="F36" i="8"/>
  <c r="G36" i="9" s="1"/>
  <c r="G36" i="8"/>
  <c r="F37" i="8"/>
  <c r="G37" i="9" s="1"/>
  <c r="G37" i="8"/>
  <c r="F38" i="8"/>
  <c r="G38" i="9" s="1"/>
  <c r="G38" i="8"/>
  <c r="F39" i="8"/>
  <c r="G39" i="9" s="1"/>
  <c r="G39" i="8"/>
  <c r="F40" i="8"/>
  <c r="G40" i="9" s="1"/>
  <c r="G40" i="8"/>
  <c r="F41" i="8"/>
  <c r="G41" i="9" s="1"/>
  <c r="G41" i="8"/>
  <c r="F42" i="8"/>
  <c r="G42" i="9" s="1"/>
  <c r="G42" i="8"/>
  <c r="F43" i="8"/>
  <c r="G43" i="9" s="1"/>
  <c r="G43" i="8"/>
  <c r="F44" i="8"/>
  <c r="G44" i="9" s="1"/>
  <c r="G44" i="8"/>
  <c r="F45" i="8"/>
  <c r="G45" i="9" s="1"/>
  <c r="G45" i="8"/>
  <c r="F46" i="8"/>
  <c r="G46" i="9" s="1"/>
  <c r="G46" i="8"/>
  <c r="F47" i="8"/>
  <c r="G47" i="9" s="1"/>
  <c r="G47" i="8"/>
  <c r="F48" i="8"/>
  <c r="G48" i="9" s="1"/>
  <c r="G48" i="8"/>
  <c r="F49" i="8"/>
  <c r="G49" i="9" s="1"/>
  <c r="G49" i="8"/>
  <c r="G35" i="8"/>
  <c r="F35" i="8"/>
  <c r="G35" i="9" s="1"/>
  <c r="E35" i="8"/>
  <c r="F35" i="9" s="1"/>
  <c r="E36" i="8"/>
  <c r="E37" i="8"/>
  <c r="F37" i="9" s="1"/>
  <c r="E38" i="8"/>
  <c r="E39" i="8"/>
  <c r="F39" i="9" s="1"/>
  <c r="E40" i="8"/>
  <c r="E41" i="8"/>
  <c r="F41" i="9" s="1"/>
  <c r="E42" i="8"/>
  <c r="F42" i="9" s="1"/>
  <c r="E43" i="8"/>
  <c r="F43" i="9" s="1"/>
  <c r="E44" i="8"/>
  <c r="E45" i="8"/>
  <c r="F45" i="9" s="1"/>
  <c r="E46" i="8"/>
  <c r="E47" i="8"/>
  <c r="F47" i="9" s="1"/>
  <c r="E48" i="8"/>
  <c r="F48" i="9" s="1"/>
  <c r="E49" i="8"/>
  <c r="F49" i="9" s="1"/>
  <c r="C36" i="8"/>
  <c r="C36" i="9" s="1"/>
  <c r="C37" i="8"/>
  <c r="C37" i="9" s="1"/>
  <c r="C38" i="8"/>
  <c r="C38" i="9" s="1"/>
  <c r="C39" i="8"/>
  <c r="C39" i="9" s="1"/>
  <c r="C40" i="8"/>
  <c r="C40" i="9" s="1"/>
  <c r="C41" i="8"/>
  <c r="C41" i="9" s="1"/>
  <c r="C42" i="8"/>
  <c r="C42" i="9" s="1"/>
  <c r="C43" i="8"/>
  <c r="C43" i="9" s="1"/>
  <c r="C44" i="8"/>
  <c r="C45" i="8"/>
  <c r="C45" i="9" s="1"/>
  <c r="C46" i="8"/>
  <c r="C46" i="9" s="1"/>
  <c r="C47" i="8"/>
  <c r="C47" i="9" s="1"/>
  <c r="C48" i="8"/>
  <c r="C48" i="9" s="1"/>
  <c r="C49" i="8"/>
  <c r="C49" i="9" s="1"/>
  <c r="C35" i="8"/>
  <c r="C35" i="9" s="1"/>
  <c r="B36" i="8"/>
  <c r="B36" i="9" s="1"/>
  <c r="B37" i="8"/>
  <c r="B37" i="9" s="1"/>
  <c r="B38" i="8"/>
  <c r="B38" i="9" s="1"/>
  <c r="B39" i="8"/>
  <c r="B39" i="9" s="1"/>
  <c r="B40" i="8"/>
  <c r="B40" i="9" s="1"/>
  <c r="B41" i="8"/>
  <c r="B42" i="8"/>
  <c r="B42" i="9" s="1"/>
  <c r="B43" i="8"/>
  <c r="B43" i="9" s="1"/>
  <c r="B44" i="8"/>
  <c r="B44" i="9" s="1"/>
  <c r="B45" i="8"/>
  <c r="B45" i="9" s="1"/>
  <c r="B46" i="8"/>
  <c r="B46" i="9" s="1"/>
  <c r="B47" i="8"/>
  <c r="B47" i="9" s="1"/>
  <c r="B48" i="8"/>
  <c r="B48" i="9" s="1"/>
  <c r="B49" i="8"/>
  <c r="B49" i="9" s="1"/>
  <c r="B35" i="8"/>
  <c r="B35" i="9" s="1"/>
  <c r="L36" i="8"/>
  <c r="A36" i="8" s="1"/>
  <c r="A36" i="9" s="1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35" i="8"/>
  <c r="F36" i="9"/>
  <c r="F38" i="9"/>
  <c r="F40" i="9"/>
  <c r="F44" i="9"/>
  <c r="F46" i="9"/>
  <c r="C44" i="9"/>
  <c r="B41" i="9"/>
  <c r="C56" i="8"/>
  <c r="C62" i="9" s="1"/>
  <c r="B54" i="9"/>
  <c r="B55" i="9"/>
  <c r="B56" i="9"/>
  <c r="B57" i="9"/>
  <c r="B53" i="9"/>
  <c r="K2" i="7"/>
  <c r="K3" i="7"/>
  <c r="A30" i="8" s="1"/>
  <c r="K4" i="7"/>
  <c r="K5" i="7"/>
  <c r="K1" i="7"/>
  <c r="H43" i="8" l="1"/>
  <c r="H47" i="8"/>
  <c r="A30" i="9"/>
  <c r="G30" i="9" s="1"/>
  <c r="H35" i="8"/>
  <c r="H49" i="8"/>
  <c r="H45" i="8"/>
  <c r="H41" i="8"/>
  <c r="H39" i="8"/>
  <c r="H37" i="8"/>
  <c r="H48" i="8"/>
  <c r="H46" i="8"/>
  <c r="H44" i="8"/>
  <c r="H42" i="8"/>
  <c r="H40" i="8"/>
  <c r="H38" i="8"/>
  <c r="H36" i="8"/>
  <c r="H50" i="8" l="1"/>
  <c r="B34" i="2" l="1"/>
  <c r="W1" i="2" s="1"/>
  <c r="V31" i="2"/>
  <c r="V30" i="2"/>
  <c r="X27" i="2"/>
  <c r="J1" i="4" l="1"/>
  <c r="H5" i="3" l="1"/>
  <c r="G3" i="9" l="1"/>
  <c r="W28" i="2" l="1"/>
  <c r="V28" i="2" s="1"/>
  <c r="V27" i="2"/>
  <c r="K28" i="3"/>
  <c r="K29" i="3"/>
  <c r="K30" i="3"/>
  <c r="K31" i="3"/>
  <c r="K32" i="3"/>
  <c r="K33" i="3"/>
  <c r="K34" i="3"/>
  <c r="K35" i="3"/>
  <c r="V36" i="2"/>
  <c r="V35" i="2"/>
  <c r="V34" i="2"/>
  <c r="V33" i="2"/>
  <c r="V32" i="2"/>
  <c r="M26" i="3" l="1"/>
  <c r="T11" i="2" l="1"/>
  <c r="B3" i="6"/>
  <c r="B2" i="6"/>
  <c r="D2" i="6" s="1"/>
  <c r="D3" i="6" l="1"/>
  <c r="C3" i="6"/>
  <c r="C2" i="6"/>
  <c r="L28" i="3" l="1"/>
  <c r="L27" i="3"/>
  <c r="L26" i="3"/>
  <c r="K26" i="3" s="1"/>
  <c r="L29" i="3"/>
  <c r="L30" i="3"/>
  <c r="L31" i="3"/>
  <c r="L32" i="3"/>
  <c r="L33" i="3"/>
  <c r="L34" i="3"/>
  <c r="L35" i="3"/>
  <c r="W31" i="2"/>
  <c r="W29" i="2"/>
  <c r="V29" i="2" s="1"/>
  <c r="X28" i="2" s="1"/>
  <c r="X29" i="2" s="1"/>
  <c r="W30" i="2"/>
  <c r="T5" i="2"/>
  <c r="T6" i="2"/>
  <c r="T7" i="2"/>
  <c r="T8" i="2"/>
  <c r="T9" i="2"/>
  <c r="T10" i="2"/>
  <c r="T12" i="2"/>
  <c r="T13" i="2"/>
  <c r="T14" i="2"/>
  <c r="T15" i="2"/>
  <c r="T16" i="2"/>
  <c r="T17" i="2"/>
  <c r="T18" i="2"/>
  <c r="T19" i="2"/>
  <c r="T20" i="2"/>
  <c r="T21" i="2"/>
  <c r="T23" i="2"/>
  <c r="T24" i="2"/>
  <c r="T25" i="2"/>
  <c r="T26" i="2"/>
  <c r="T27" i="2"/>
  <c r="T28" i="2"/>
  <c r="T29" i="2"/>
  <c r="T30" i="2"/>
  <c r="T31" i="2"/>
  <c r="T32" i="2"/>
  <c r="T22" i="2"/>
  <c r="T3" i="2"/>
  <c r="K27" i="3" l="1"/>
  <c r="L1" i="3"/>
  <c r="K1" i="3" s="1"/>
  <c r="M1" i="3" s="1"/>
  <c r="M27" i="3"/>
  <c r="M28" i="3" s="1"/>
  <c r="T4" i="2"/>
  <c r="W3" i="2" s="1"/>
  <c r="W4" i="2" s="1"/>
  <c r="C2" i="3" l="1"/>
  <c r="G27" i="2" l="1"/>
  <c r="I54" i="9"/>
  <c r="J27" i="2" l="1"/>
  <c r="J26" i="2"/>
  <c r="N1" i="5" s="1"/>
  <c r="H56" i="9"/>
  <c r="G50" i="8"/>
  <c r="E50" i="8"/>
  <c r="A49" i="8"/>
  <c r="A49" i="9" s="1"/>
  <c r="A48" i="8"/>
  <c r="A48" i="9" s="1"/>
  <c r="A47" i="8"/>
  <c r="A47" i="9" s="1"/>
  <c r="A46" i="8"/>
  <c r="A46" i="9" s="1"/>
  <c r="A45" i="8"/>
  <c r="A45" i="9" s="1"/>
  <c r="A44" i="8"/>
  <c r="A44" i="9" s="1"/>
  <c r="A43" i="8"/>
  <c r="A43" i="9" s="1"/>
  <c r="A42" i="8"/>
  <c r="A42" i="9" s="1"/>
  <c r="A41" i="8"/>
  <c r="A41" i="9" s="1"/>
  <c r="A40" i="8"/>
  <c r="A40" i="9" s="1"/>
  <c r="A39" i="8"/>
  <c r="A39" i="9" s="1"/>
  <c r="A38" i="8"/>
  <c r="A38" i="9" s="1"/>
  <c r="A37" i="8"/>
  <c r="A37" i="9" s="1"/>
  <c r="A35" i="8"/>
  <c r="A35" i="9" s="1"/>
  <c r="C27" i="8"/>
  <c r="C27" i="9" s="1"/>
  <c r="A58" i="8"/>
  <c r="G3" i="8"/>
  <c r="A63" i="9"/>
  <c r="G5" i="9"/>
  <c r="A64" i="9" s="1"/>
  <c r="H3" i="9"/>
  <c r="I56" i="9" l="1"/>
  <c r="N1" i="4"/>
  <c r="F30" i="8" l="1"/>
  <c r="B46" i="2"/>
  <c r="D5" i="2" l="1"/>
  <c r="C2" i="2"/>
  <c r="D5" i="3" l="1"/>
  <c r="G31" i="2" l="1"/>
  <c r="G30" i="2"/>
  <c r="G29" i="2"/>
  <c r="G28" i="2"/>
  <c r="J28" i="2"/>
  <c r="I55" i="9" l="1"/>
  <c r="H35" i="9"/>
  <c r="J29" i="2"/>
  <c r="I57" i="9" s="1"/>
</calcChain>
</file>

<file path=xl/sharedStrings.xml><?xml version="1.0" encoding="utf-8"?>
<sst xmlns="http://schemas.openxmlformats.org/spreadsheetml/2006/main" count="371" uniqueCount="252">
  <si>
    <t>DHL</t>
  </si>
  <si>
    <t>Charge to</t>
  </si>
  <si>
    <t>Company name</t>
  </si>
  <si>
    <t>Country</t>
  </si>
  <si>
    <t>Address</t>
  </si>
  <si>
    <t>City</t>
  </si>
  <si>
    <t>Postal Code</t>
  </si>
  <si>
    <t>Contact number</t>
  </si>
  <si>
    <t>Contact Person</t>
  </si>
  <si>
    <t>No. of Packages</t>
  </si>
  <si>
    <t>Weight</t>
  </si>
  <si>
    <t>Length</t>
  </si>
  <si>
    <t>Dimensions (cm)</t>
  </si>
  <si>
    <t>Width</t>
  </si>
  <si>
    <t>Height</t>
  </si>
  <si>
    <t>Kg(s)</t>
  </si>
  <si>
    <t>Total volume/m3:</t>
  </si>
  <si>
    <t>Full description of contents</t>
  </si>
  <si>
    <t>Payer account no.</t>
  </si>
  <si>
    <t>Total no. of packages:</t>
  </si>
  <si>
    <t>Total weight:</t>
  </si>
  <si>
    <t>Package Type :</t>
  </si>
  <si>
    <t>Comments / Remarks</t>
  </si>
  <si>
    <t>Item Description</t>
  </si>
  <si>
    <t>No.</t>
  </si>
  <si>
    <t>Quantity</t>
  </si>
  <si>
    <t>Unit Weight</t>
  </si>
  <si>
    <t>Country of Origin</t>
  </si>
  <si>
    <t>Currency</t>
  </si>
  <si>
    <t>Sales Order</t>
  </si>
  <si>
    <t>Description of Goods</t>
  </si>
  <si>
    <t>UOM</t>
  </si>
  <si>
    <t>Unit Value</t>
  </si>
  <si>
    <t xml:space="preserve"> etc.</t>
  </si>
  <si>
    <t>Shipment Mode</t>
  </si>
  <si>
    <t>If Bill to 3rd Party</t>
  </si>
  <si>
    <t>Delivery To (Receiver)</t>
  </si>
  <si>
    <t>DDU</t>
  </si>
  <si>
    <t>DDP</t>
  </si>
  <si>
    <t>EXW</t>
  </si>
  <si>
    <t>FOB</t>
  </si>
  <si>
    <r>
      <t xml:space="preserve">(Delivery Duty Unpaid) - All charges paid by BIPH </t>
    </r>
    <r>
      <rPr>
        <i/>
        <sz val="8"/>
        <color theme="1"/>
        <rFont val="Calibri"/>
        <family val="2"/>
        <scheme val="minor"/>
      </rPr>
      <t>(except duties &amp; tax at destination)</t>
    </r>
  </si>
  <si>
    <r>
      <t xml:space="preserve">(Exworks) </t>
    </r>
    <r>
      <rPr>
        <i/>
        <sz val="8"/>
        <color theme="1"/>
        <rFont val="Calibri"/>
        <family val="2"/>
        <scheme val="minor"/>
      </rPr>
      <t>All charges paid by Receiver/3rd Party</t>
    </r>
  </si>
  <si>
    <r>
      <t xml:space="preserve">(Freight On Board) - </t>
    </r>
    <r>
      <rPr>
        <i/>
        <sz val="8"/>
        <color theme="1"/>
        <rFont val="Calibri"/>
        <family val="2"/>
        <scheme val="minor"/>
      </rPr>
      <t>BIPH will pay trucking charges from BIPH to Port only</t>
    </r>
  </si>
  <si>
    <r>
      <t xml:space="preserve">(Delivery Duty Paid) - </t>
    </r>
    <r>
      <rPr>
        <i/>
        <sz val="8"/>
        <color theme="1"/>
        <rFont val="Calibri"/>
        <family val="2"/>
        <scheme val="minor"/>
      </rPr>
      <t>All charges paid by BIPH</t>
    </r>
  </si>
  <si>
    <t>Sea Freight</t>
  </si>
  <si>
    <t>Air Freight</t>
  </si>
  <si>
    <t>Courier</t>
  </si>
  <si>
    <t>Shipping of goods by sea via shipping containers</t>
  </si>
  <si>
    <t>FedEx</t>
  </si>
  <si>
    <t>-</t>
  </si>
  <si>
    <t>Domestic</t>
  </si>
  <si>
    <t xml:space="preserve"> </t>
  </si>
  <si>
    <t>Incoterms</t>
  </si>
  <si>
    <t>Payer details</t>
  </si>
  <si>
    <t>Courier - DHL</t>
  </si>
  <si>
    <t>Courier - FEDEX</t>
  </si>
  <si>
    <t>Type of Invoice</t>
  </si>
  <si>
    <t>Local shipment, requires cash payment &amp; gate pass with PEZA stamped</t>
  </si>
  <si>
    <t>Invoice Number</t>
  </si>
  <si>
    <t>Document Details</t>
  </si>
  <si>
    <t>Description / Items</t>
  </si>
  <si>
    <t>Local shipment, requires cash payment</t>
  </si>
  <si>
    <t>OCS</t>
  </si>
  <si>
    <t>Description</t>
  </si>
  <si>
    <t>H</t>
  </si>
  <si>
    <t>U/M</t>
  </si>
  <si>
    <t>No. of Boxes</t>
  </si>
  <si>
    <t>L</t>
  </si>
  <si>
    <t>W</t>
  </si>
  <si>
    <t>Dimensions (cm):</t>
  </si>
  <si>
    <t>Part Code</t>
  </si>
  <si>
    <t>Cargo Details</t>
  </si>
  <si>
    <t>Invoice Details</t>
  </si>
  <si>
    <t>OUTBOUND REQUEST FILE</t>
  </si>
  <si>
    <t>Sample</t>
  </si>
  <si>
    <t>For Evaluation</t>
  </si>
  <si>
    <t>For Testing</t>
  </si>
  <si>
    <t>For Analysis</t>
  </si>
  <si>
    <t>Back to Origin</t>
  </si>
  <si>
    <r>
      <t xml:space="preserve">Sold To: </t>
    </r>
    <r>
      <rPr>
        <i/>
        <sz val="9"/>
        <color theme="1"/>
        <rFont val="Calibri"/>
        <family val="2"/>
        <scheme val="minor"/>
      </rPr>
      <t>(Fill up below if for sale)</t>
    </r>
  </si>
  <si>
    <t>If total shipment amount is greater than or equal to USD 100</t>
  </si>
  <si>
    <t>Return to vendor;
If total shipment amount is greater than or equal to USD 5,000;
LOA (Letter of Application) is needed, PHP 1,200 per shipment</t>
  </si>
  <si>
    <t>SOLD TO</t>
  </si>
  <si>
    <t>SHIPPED VIA</t>
  </si>
  <si>
    <t>SELLER :</t>
  </si>
  <si>
    <t>INVOICE #</t>
  </si>
  <si>
    <t>DATE</t>
  </si>
  <si>
    <t>PAGE</t>
  </si>
  <si>
    <t>PAYMENT TERMS</t>
  </si>
  <si>
    <t>Contact no:</t>
  </si>
  <si>
    <t>Attention to:</t>
  </si>
  <si>
    <t>ETD</t>
  </si>
  <si>
    <t xml:space="preserve">L/C NO. </t>
  </si>
  <si>
    <t>FROM</t>
  </si>
  <si>
    <t>TO</t>
  </si>
  <si>
    <t>VIA</t>
  </si>
  <si>
    <t>ISSUING BANK</t>
  </si>
  <si>
    <t>Manila, Philippines</t>
  </si>
  <si>
    <t xml:space="preserve">B/L ISSUED AT </t>
  </si>
  <si>
    <t>CARRIER</t>
  </si>
  <si>
    <t>QTY</t>
  </si>
  <si>
    <t>Partcode</t>
  </si>
  <si>
    <t>PCS</t>
  </si>
  <si>
    <t xml:space="preserve">TOTAL </t>
  </si>
  <si>
    <t>BIPH SHIPPING IN-CHARGE</t>
  </si>
  <si>
    <t>BROTHER INDUSTRIES (PHILIPPINES) INC.</t>
  </si>
  <si>
    <t>LOT 1 B-2 PHASE 1B FIRST PHILIPPINE INDUSTRIAL PARK</t>
  </si>
  <si>
    <t>BRGY. ULANGO TANAUAN CITY, BATANGAS</t>
  </si>
  <si>
    <t>BATANGAS, PHILIPPINES</t>
  </si>
  <si>
    <t>REMARKS :</t>
  </si>
  <si>
    <t xml:space="preserve">DELIVERY TO </t>
  </si>
  <si>
    <t>1 of 1</t>
  </si>
  <si>
    <t>Country of Origin :</t>
  </si>
  <si>
    <t>PACKING LIST</t>
  </si>
  <si>
    <t>ITEMS</t>
  </si>
  <si>
    <t>UNIT PRICE</t>
  </si>
  <si>
    <t>TOTAL AMOUNT</t>
  </si>
  <si>
    <t>GROSS WEIGHT (KG)</t>
  </si>
  <si>
    <t>INVOICE</t>
  </si>
  <si>
    <t>Total no. of</t>
  </si>
  <si>
    <t>Total volume /m3</t>
  </si>
  <si>
    <t>Total quantity</t>
  </si>
  <si>
    <t>Total QTY (pcs):</t>
  </si>
  <si>
    <t>Total Amount:</t>
  </si>
  <si>
    <t>Select on below options:</t>
  </si>
  <si>
    <t>(USD)</t>
  </si>
  <si>
    <t>Special Instruction/s</t>
  </si>
  <si>
    <t>section</t>
  </si>
  <si>
    <t>SPV</t>
  </si>
  <si>
    <t>Manager</t>
  </si>
  <si>
    <t>Section</t>
  </si>
  <si>
    <t>Section :</t>
  </si>
  <si>
    <t>Local number :</t>
  </si>
  <si>
    <t>Requestor's email address :</t>
  </si>
  <si>
    <r>
      <t xml:space="preserve">Additional Information </t>
    </r>
    <r>
      <rPr>
        <i/>
        <sz val="8"/>
        <color theme="0"/>
        <rFont val="Calibri"/>
        <family val="2"/>
        <scheme val="minor"/>
      </rPr>
      <t>(Shipping PIC reference)</t>
    </r>
  </si>
  <si>
    <t>Requestor's e-mail add :</t>
  </si>
  <si>
    <t>Purpose of shipment</t>
  </si>
  <si>
    <t>If cargo is greater than 70 kgs</t>
  </si>
  <si>
    <t>If cargo weight is 70 kgs and below; max dimension 300 cm any sides</t>
  </si>
  <si>
    <t>Error check</t>
  </si>
  <si>
    <t>BPS</t>
  </si>
  <si>
    <t>allan.bustos@brother-biph.com.ph; maria.cortez@brother-biph.com.ph; queenjoy.villaflor@brother-biph.com.ph</t>
  </si>
  <si>
    <t>mark.epino@brother-biph.com.ph; nerilyn.nario@brother-biph.com.ph</t>
  </si>
  <si>
    <t>jervy.malapascua@brother-biph.com.ph; reynavil.oblea@brother-biph.com.ph; hizel.llaguno@brother-biph.com.ph; joebert.deguzman@brother-biph.com.ph; joan.endaya@brother-biph.com.ph; renan.magnaye@brother-biph.com.ph; aaron.panergayo@brother-biph.com.ph</t>
  </si>
  <si>
    <t>Finance</t>
  </si>
  <si>
    <t>katherine.austria@brother-biph.com.ph; laarni.malba@brother-biph.com.ph; jenalyn.mendoza@brother-biph.com.ph; jennylyn.mendoza@brother-biph.com.ph; nina.alcantara@brother-biph.com.ph</t>
  </si>
  <si>
    <t>jemmy.lastra@brother-biph.com.ph; joanna.liwanag@brother-biph.com.ph; mark.padasas@brother-biph.com.ph</t>
  </si>
  <si>
    <t>antonio.apsay@brother-biph.com.ph; kristine.diaz@brother-biph.com.ph; miraflor.vivo@brother-biph.com.ph; catherine.tabaldo@brother-biph.com.ph</t>
  </si>
  <si>
    <t>michelle.escaro@brother-biph.com.ph; arnold.vergara@brother-biph.com.ph</t>
  </si>
  <si>
    <t>vanessa.ramos@brother-biph.com.ph; edelyn.gonzaga@brother-biph.com.ph; gerald.fidelino@brother-biph.com.ph</t>
  </si>
  <si>
    <t>princess.bautista@brother-biph.com.ph; harold.llagas@brother-biph.com.ph</t>
  </si>
  <si>
    <t>junerex.dejesus@brother-biph.com.ph; dan.legaspi@brother-biph.com.ph</t>
  </si>
  <si>
    <t>doris.garcia@brother-biph.com.ph; margarette.garibay@brother-biph.com.ph; marlon.rodelas@brother-biph.com.ph; jhoanne.rosales@brother-biph.com.ph; mary.hidalgo@brother-biph.com.ph</t>
  </si>
  <si>
    <t>Molding</t>
  </si>
  <si>
    <t>dan.bautista@brother-biph.com.ph; mary.enriquez@brother-biph.com.ph; leah.pacio@brother-biph.com.ph; netene.santiago@brother-biph.com.ph</t>
  </si>
  <si>
    <t>reydoll.bautista@brother-biph.com.ph; adrian.panganiban@brother-biph.com.ph</t>
  </si>
  <si>
    <t>Printer</t>
  </si>
  <si>
    <t>daniel.eballa@brother-biph.com.ph; dayan.lucido@brother-biph.com.ph; lina.tan@brother-biph.com.ph; kristoffer.tenorio@brother-biph.com.ph; jovy.villamor@brother-biph.com.ph; maricel.vista@brother-biph.com.ph; alex.reyes@brother-biph.com.ph; kristina.parra@brother-biph.com.ph; maria.pulgado@brother-biph.com.ph; jennifer.malizon@brother-biph.com.ph</t>
  </si>
  <si>
    <t>nelyn.kalalo@brother-biph.com.ph; kristel.landicho@brother-biph.com.ph; alyssa.castro@brother-biph.com.ph; hazel.detorres@brother-biph.com.ph; queen.ramos@brother-biph.com.ph</t>
  </si>
  <si>
    <t>lanie.dalangin@brother-biph.com.ph; rachel.lozano@brother-biph.com.ph</t>
  </si>
  <si>
    <t>P-Touch</t>
  </si>
  <si>
    <t>michelle.icaro@brother-biph.com.ph; rhea.villostas@brother-biph.com.ph</t>
  </si>
  <si>
    <t>ailene.javier@brother-biph.com.ph; charmie.polo@brother-biph.com.ph; aileen.vivas@brother-biph.com.ph</t>
  </si>
  <si>
    <t>agnes.casabuena@brother-biph.com.ph; raneth.yabut@brother-biph.com.ph; myla.malabuyoc@brother-biph.com.ph</t>
  </si>
  <si>
    <t>danilo.alayon@brother-biph.com.ph; jelby.agawa@brother-biph.com.ph; gianne.bueno@brother-biph.com.ph</t>
  </si>
  <si>
    <t>mona.dorado@brother-biph.com.ph; danilo.alayon@brother-biph.com.ph</t>
  </si>
  <si>
    <t>rialyn.piamonte@brother-biph.com.ph; heideliza.trinidad@brother-biph.com.ph; merrie.semira@brother-biph.com.ph; mary.rehiz@brother-biph.com.ph</t>
  </si>
  <si>
    <t>francis.baraoidan@brother-biph.com.ph; ruel.manguiat@brother-biph.com.ph; jonathan.vinas@brother-biph.com.; angelique.arganosa@brother-biph.com.ph; maureen.perico@brother-biph.com.ph</t>
  </si>
  <si>
    <t>jonalyn.monfero@brother-biph.com.ph; lorelyn.verdan@brother-biph.com.ph</t>
  </si>
  <si>
    <t>noriyuki.ishikawa@brother-biph.com.ph</t>
  </si>
  <si>
    <t>yuta.uchino@brother-biph.com.ph; yoitiro.shimizu@brother-biph.com.ph; tomoya.ito@brother-biph.com.ph</t>
  </si>
  <si>
    <t>shoutaro.okada@brother-biph.com.ph</t>
  </si>
  <si>
    <t>herson.mendoza@brother-biph.com.ph; joselito.delosreyes@brother-biph.com.ph</t>
  </si>
  <si>
    <t>mitsuhiro.emoto@brother-biph.com.ph; elena.hahn@brother-biph.com.ph</t>
  </si>
  <si>
    <t>toshiyuki.yokoi@brother-biph.com.ph; yukio.shiohara@brother-biph.com.ph</t>
  </si>
  <si>
    <t>junki.ueyama@brother-biph.com.ph; yoitiro.shimizu@brother-biph.com.ph</t>
  </si>
  <si>
    <t>tubasa.oogata@brother-biph.com.ph</t>
  </si>
  <si>
    <t>daisuke.teshima@brother-biph.com.ph</t>
  </si>
  <si>
    <t>tamotsu.futawatari@brother-biph.com.ph</t>
  </si>
  <si>
    <t>shota.hagiuchi@brother-biph.com.ph; takatoshi.oda@brother-biph.com.ph</t>
  </si>
  <si>
    <t>shinji.kato@brother-biph.com.ph; takahiro.ootani@brother-biph.com.ph</t>
  </si>
  <si>
    <t>jobette.salapar@brother-biph.com.ph; yasuhiro.asuzuki@brother-biph.com.ph; kenichi.hirata@brother-biph.com.ph; hisashi.kikuma@brother-biph.com.ph</t>
  </si>
  <si>
    <t>kenichi.hirata@brother-biph.com.ph</t>
  </si>
  <si>
    <t>gen.fukui@brother-biph.com.ph</t>
  </si>
  <si>
    <t>renato.gonzales@brother-biph.com.ph; seiji.hamajima@brother-biph.com.ph</t>
  </si>
  <si>
    <t>seiji.hamajima@brother-biph.com.ph</t>
  </si>
  <si>
    <t>hisashi.kikuma@brother-biph.com.ph</t>
  </si>
  <si>
    <t>tomoya.ito@brother-biph.com.ph; toshiyuki.yokoi@brother-biph.com.ph</t>
  </si>
  <si>
    <t>takeshi.uneura@brother-biph.com.ph</t>
  </si>
  <si>
    <t>rizabhi.rosales@brother-biph.com.ph; tomoya.ito@brother-biph.com.ph</t>
  </si>
  <si>
    <t>vanessa.pineda@brother-biph.com.ph</t>
  </si>
  <si>
    <t>koji.ojika@brother-biph.com.ph; nobuaki.noso@brother-biph.com.ph; yoitiro.shimizu@brother-biph.com.ph</t>
  </si>
  <si>
    <t>Supervisor</t>
  </si>
  <si>
    <t>DOCS</t>
  </si>
  <si>
    <t>CARGO</t>
  </si>
  <si>
    <t>input ok?</t>
  </si>
  <si>
    <t>w/blanks?</t>
  </si>
  <si>
    <t># item = lines</t>
  </si>
  <si>
    <t>DE</t>
  </si>
  <si>
    <t>EE</t>
  </si>
  <si>
    <t>GA</t>
  </si>
  <si>
    <t>HR</t>
  </si>
  <si>
    <t>IQC</t>
  </si>
  <si>
    <t>IT</t>
  </si>
  <si>
    <t>Ink_Cartridge</t>
  </si>
  <si>
    <t>Ink_Head</t>
  </si>
  <si>
    <t>LC</t>
  </si>
  <si>
    <t>PCBA</t>
  </si>
  <si>
    <t>PC</t>
  </si>
  <si>
    <t>PE</t>
  </si>
  <si>
    <t>QA</t>
  </si>
  <si>
    <t>QI</t>
  </si>
  <si>
    <t>SQC</t>
  </si>
  <si>
    <t>Tape_Cassette</t>
  </si>
  <si>
    <t>Checked by: Supervisor</t>
  </si>
  <si>
    <t>Approved by : Manager</t>
  </si>
  <si>
    <t>Prepared by: BIPH Staff</t>
  </si>
  <si>
    <t>Received by : Shipping</t>
  </si>
  <si>
    <t>To be fill up by Requesting section, in case other Section will pay shipping cost:</t>
  </si>
  <si>
    <t>Section to pay shipping cost :</t>
  </si>
  <si>
    <t>DESCRIPTION OF GOODS</t>
  </si>
  <si>
    <t>/</t>
  </si>
  <si>
    <t>DELIVERY TO :</t>
  </si>
  <si>
    <t>BROTHER INDUSTRIES (PHILIPPINES), INC.
Lot 1-B-2, Phase 1B, First Philippine Industrial Park
Barangay Ulango, Tanauan City, Batangas 4232 PHILIPPINES</t>
  </si>
  <si>
    <t>ITEM/S :</t>
  </si>
  <si>
    <t>ATTENTION TO :</t>
  </si>
  <si>
    <t>SHIPPER :</t>
  </si>
  <si>
    <t>CONTACT NO. :</t>
  </si>
  <si>
    <t>ENVELOPE</t>
  </si>
  <si>
    <t>\\apbiphsh07\B1_BIPHCommon\13_Ship\00._Outbound Request\ORF instruction.pdf</t>
  </si>
  <si>
    <t>AIR FREIGHT / COURIER</t>
  </si>
  <si>
    <t>FEDEX</t>
  </si>
  <si>
    <t>Total Gross weight</t>
  </si>
  <si>
    <t>SECTION :</t>
  </si>
  <si>
    <t>Note:</t>
  </si>
  <si>
    <t>&lt;Please always tick enable content&gt;</t>
  </si>
  <si>
    <r>
      <t xml:space="preserve">If item/s is too small (ex. Label, stickers, emblem etc.) we can consider as document/s </t>
    </r>
    <r>
      <rPr>
        <i/>
        <u/>
        <sz val="8"/>
        <color rgb="FFFF0000"/>
        <rFont val="Calibri"/>
        <family val="2"/>
        <scheme val="minor"/>
      </rPr>
      <t>but seek or with approval of consignee/receiver.</t>
    </r>
  </si>
  <si>
    <r>
      <t xml:space="preserve">How to use? </t>
    </r>
    <r>
      <rPr>
        <i/>
        <sz val="8"/>
        <rFont val="Calibri"/>
        <family val="2"/>
        <scheme val="minor"/>
      </rPr>
      <t>(click below link)</t>
    </r>
  </si>
  <si>
    <t>Date Received:</t>
  </si>
  <si>
    <t>Invoice No.:</t>
  </si>
  <si>
    <t>Air Waybill No.:</t>
  </si>
  <si>
    <t>For Shipping Section only: (do not input anything)</t>
  </si>
  <si>
    <t>Ex. INK, Grease, or Battery</t>
  </si>
  <si>
    <t>Item contains Dangerous Goods?</t>
  </si>
  <si>
    <t>Material Procurement 1</t>
  </si>
  <si>
    <t>Yabut, Raneth, Myla Malabuyoc</t>
  </si>
  <si>
    <t>Yamamoto Takashi</t>
  </si>
  <si>
    <t>Shipping Control</t>
  </si>
  <si>
    <t>Purchasing Control</t>
  </si>
  <si>
    <t>LE</t>
  </si>
  <si>
    <t xml:space="preserve">Herson Mendoza, Joselito Delos Reyes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</si>
</sst>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000"/>
    <numFmt numFmtId="168" formatCode="_-* #,##0.0_-;\-* #,##0.0_-;_-* &quot;-&quot;??_-;_-@_-"/>
    <numFmt numFmtId="169" formatCode="_-* #,##0_-;\-* #,##0_-;_-* &quot;-&quot;??_-;_-@_-"/>
    <numFmt numFmtId="170" formatCode="0.0000"/>
    <numFmt numFmtId="171" formatCode="0.0"/>
    <numFmt numFmtId="172" formatCode="[$-409]d\-mmm\-yy;@"/>
    <numFmt numFmtId="173" formatCode="[$$-409]#,##0.00"/>
    <numFmt numFmtId="174" formatCode="[$$-C09]#,##0.00"/>
  </numFmts>
  <fonts count="75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20"/>
      <color rgb="FF0000FF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10"/>
      <color theme="0" tint="-0.14999847407452621"/>
      <name val="Calibri"/>
      <family val="2"/>
      <scheme val="minor"/>
    </font>
    <font>
      <b/>
      <sz val="28"/>
      <color rgb="FF0000FF"/>
      <name val="Arial"/>
      <family val="2"/>
    </font>
    <font>
      <sz val="8"/>
      <name val="Calibri"/>
      <family val="2"/>
      <scheme val="minor"/>
    </font>
    <font>
      <b/>
      <sz val="18"/>
      <color rgb="FF000000"/>
      <name val="Calibri"/>
      <family val="2"/>
    </font>
    <font>
      <sz val="8"/>
      <color rgb="FF0000FF"/>
      <name val="Calibri"/>
      <family val="2"/>
      <scheme val="minor"/>
    </font>
    <font>
      <i/>
      <sz val="8"/>
      <color rgb="FF0000FF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i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u/>
      <sz val="8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9"/>
      <color theme="1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20"/>
      <color theme="0"/>
      <name val="Century Gothic"/>
      <family val="2"/>
    </font>
    <font>
      <sz val="10"/>
      <name val="Century Gothic"/>
      <family val="2"/>
    </font>
    <font>
      <b/>
      <sz val="16"/>
      <name val="Century Gothic"/>
      <family val="2"/>
    </font>
    <font>
      <sz val="28"/>
      <name val="Century Gothic"/>
      <family val="2"/>
    </font>
    <font>
      <b/>
      <sz val="20"/>
      <color theme="1"/>
      <name val="Century Gothic"/>
      <family val="2"/>
    </font>
    <font>
      <b/>
      <sz val="36"/>
      <color theme="1"/>
      <name val="Century Gothic"/>
      <family val="2"/>
    </font>
    <font>
      <sz val="28"/>
      <color theme="1"/>
      <name val="Calibri"/>
      <family val="2"/>
      <scheme val="minor"/>
    </font>
    <font>
      <b/>
      <sz val="72"/>
      <name val="Century Gothic"/>
      <family val="2"/>
    </font>
    <font>
      <u/>
      <sz val="10"/>
      <color theme="10"/>
      <name val="Arial"/>
      <family val="2"/>
    </font>
    <font>
      <sz val="20"/>
      <color theme="1"/>
      <name val="Calibri"/>
      <family val="2"/>
      <scheme val="minor"/>
    </font>
    <font>
      <b/>
      <sz val="48"/>
      <name val="Century Gothic"/>
      <family val="2"/>
    </font>
    <font>
      <b/>
      <sz val="24"/>
      <color theme="0"/>
      <name val="Century Gothic"/>
      <family val="2"/>
    </font>
    <font>
      <b/>
      <sz val="26"/>
      <color theme="0"/>
      <name val="Century Gothic"/>
      <family val="2"/>
    </font>
    <font>
      <sz val="26"/>
      <color theme="0"/>
      <name val="Century Gothic"/>
      <family val="2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20"/>
      <name val="Century Gothic"/>
      <family val="2"/>
    </font>
    <font>
      <sz val="8"/>
      <color indexed="12"/>
      <name val="Calibri"/>
      <family val="2"/>
    </font>
    <font>
      <b/>
      <sz val="10"/>
      <color theme="0" tint="-0.249977111117893"/>
      <name val="Calibri"/>
      <family val="2"/>
      <scheme val="minor"/>
    </font>
    <font>
      <b/>
      <sz val="36"/>
      <name val="Century Gothic"/>
      <family val="2"/>
    </font>
    <font>
      <b/>
      <i/>
      <sz val="8"/>
      <name val="Calibri"/>
      <family val="2"/>
      <scheme val="minor"/>
    </font>
    <font>
      <b/>
      <sz val="8"/>
      <color rgb="FF0000FF"/>
      <name val="Calibri"/>
      <family val="2"/>
      <scheme val="minor"/>
    </font>
    <font>
      <i/>
      <u/>
      <sz val="8"/>
      <color theme="1"/>
      <name val="Calibri"/>
      <family val="2"/>
      <scheme val="minor"/>
    </font>
    <font>
      <i/>
      <u/>
      <sz val="8"/>
      <color rgb="FFFF0000"/>
      <name val="Calibri"/>
      <family val="2"/>
      <scheme val="minor"/>
    </font>
    <font>
      <i/>
      <sz val="8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i/>
      <u/>
      <sz val="10"/>
      <color rgb="FF0000FF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D5"/>
        <bgColor indexed="64"/>
      </patternFill>
    </fill>
  </fills>
  <borders count="7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/>
      <right/>
      <top style="thin">
        <color theme="2" tint="-9.9978637043366805E-2"/>
      </top>
      <bottom style="thin">
        <color indexed="64"/>
      </bottom>
      <diagonal/>
    </border>
    <border>
      <left/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 style="thin">
        <color indexed="64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43" fontId="2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52" fillId="0" borderId="0" applyNumberFormat="0" applyFill="0" applyBorder="0" applyAlignment="0" applyProtection="0"/>
  </cellStyleXfs>
  <cellXfs count="474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quotePrefix="1" applyFont="1" applyAlignment="1">
      <alignment horizontal="center"/>
    </xf>
    <xf numFmtId="0" fontId="3" fillId="0" borderId="0" xfId="0" quotePrefix="1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/>
    </xf>
    <xf numFmtId="0" fontId="11" fillId="2" borderId="0" xfId="0" applyFont="1" applyFill="1" applyBorder="1"/>
    <xf numFmtId="0" fontId="7" fillId="0" borderId="0" xfId="0" applyFont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0" xfId="0" applyFont="1" applyFill="1" applyBorder="1"/>
    <xf numFmtId="0" fontId="11" fillId="5" borderId="19" xfId="0" applyFont="1" applyFill="1" applyBorder="1" applyAlignment="1">
      <alignment vertical="center"/>
    </xf>
    <xf numFmtId="0" fontId="11" fillId="5" borderId="19" xfId="0" applyFont="1" applyFill="1" applyBorder="1" applyAlignment="1">
      <alignment horizontal="center" vertical="center"/>
    </xf>
    <xf numFmtId="0" fontId="6" fillId="0" borderId="0" xfId="0" applyFont="1"/>
    <xf numFmtId="0" fontId="6" fillId="0" borderId="19" xfId="0" applyFont="1" applyBorder="1" applyAlignment="1">
      <alignment horizontal="left"/>
    </xf>
    <xf numFmtId="0" fontId="6" fillId="0" borderId="19" xfId="0" applyFont="1" applyBorder="1" applyAlignment="1">
      <alignment horizontal="center"/>
    </xf>
    <xf numFmtId="43" fontId="6" fillId="0" borderId="19" xfId="2" applyFont="1" applyBorder="1" applyAlignment="1">
      <alignment horizontal="center"/>
    </xf>
    <xf numFmtId="0" fontId="12" fillId="2" borderId="0" xfId="0" applyFont="1" applyFill="1" applyBorder="1"/>
    <xf numFmtId="0" fontId="10" fillId="6" borderId="0" xfId="0" applyFont="1" applyFill="1" applyBorder="1" applyAlignment="1">
      <alignment horizontal="left"/>
    </xf>
    <xf numFmtId="0" fontId="13" fillId="6" borderId="0" xfId="0" applyFont="1" applyFill="1" applyBorder="1"/>
    <xf numFmtId="0" fontId="7" fillId="0" borderId="0" xfId="0" applyFont="1" applyBorder="1" applyAlignment="1">
      <alignment horizontal="center"/>
    </xf>
    <xf numFmtId="0" fontId="5" fillId="0" borderId="0" xfId="0" applyFont="1"/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2" borderId="20" xfId="0" applyFont="1" applyFill="1" applyBorder="1" applyAlignment="1">
      <alignment horizontal="center"/>
    </xf>
    <xf numFmtId="0" fontId="11" fillId="2" borderId="21" xfId="0" applyFont="1" applyFill="1" applyBorder="1" applyAlignment="1">
      <alignment horizontal="center"/>
    </xf>
    <xf numFmtId="0" fontId="11" fillId="2" borderId="12" xfId="0" applyFont="1" applyFill="1" applyBorder="1" applyAlignment="1">
      <alignment horizontal="center"/>
    </xf>
    <xf numFmtId="0" fontId="11" fillId="2" borderId="22" xfId="0" applyFont="1" applyFill="1" applyBorder="1" applyAlignment="1">
      <alignment horizontal="center"/>
    </xf>
    <xf numFmtId="0" fontId="1" fillId="0" borderId="0" xfId="1" applyFont="1"/>
    <xf numFmtId="0" fontId="1" fillId="0" borderId="0" xfId="1" applyFont="1" applyBorder="1"/>
    <xf numFmtId="0" fontId="19" fillId="0" borderId="0" xfId="1" applyFont="1" applyBorder="1"/>
    <xf numFmtId="0" fontId="19" fillId="0" borderId="0" xfId="1" applyFont="1" applyBorder="1" applyAlignment="1"/>
    <xf numFmtId="0" fontId="19" fillId="0" borderId="0" xfId="1" applyFont="1" applyFill="1" applyBorder="1"/>
    <xf numFmtId="0" fontId="18" fillId="0" borderId="2" xfId="1" applyFont="1" applyBorder="1"/>
    <xf numFmtId="0" fontId="19" fillId="0" borderId="6" xfId="1" applyFont="1" applyBorder="1"/>
    <xf numFmtId="0" fontId="19" fillId="0" borderId="0" xfId="1" applyFont="1"/>
    <xf numFmtId="0" fontId="19" fillId="0" borderId="3" xfId="1" applyFont="1" applyBorder="1"/>
    <xf numFmtId="0" fontId="18" fillId="0" borderId="2" xfId="1" applyFont="1" applyBorder="1" applyAlignment="1">
      <alignment vertical="center"/>
    </xf>
    <xf numFmtId="0" fontId="19" fillId="0" borderId="10" xfId="1" applyFont="1" applyBorder="1" applyAlignment="1"/>
    <xf numFmtId="0" fontId="18" fillId="0" borderId="0" xfId="1" applyFont="1" applyBorder="1" applyAlignment="1">
      <alignment vertical="center" wrapText="1"/>
    </xf>
    <xf numFmtId="0" fontId="19" fillId="0" borderId="0" xfId="1" applyFont="1" applyAlignment="1">
      <alignment vertical="center"/>
    </xf>
    <xf numFmtId="0" fontId="19" fillId="0" borderId="0" xfId="1" applyFont="1" applyBorder="1" applyAlignment="1">
      <alignment horizontal="left"/>
    </xf>
    <xf numFmtId="0" fontId="19" fillId="0" borderId="0" xfId="0" applyFont="1" applyBorder="1"/>
    <xf numFmtId="0" fontId="19" fillId="0" borderId="0" xfId="3" applyFont="1" applyBorder="1"/>
    <xf numFmtId="0" fontId="18" fillId="0" borderId="0" xfId="1" applyFont="1" applyBorder="1" applyAlignment="1">
      <alignment horizontal="center" vertical="center"/>
    </xf>
    <xf numFmtId="0" fontId="18" fillId="0" borderId="0" xfId="1" applyFont="1" applyBorder="1" applyAlignment="1">
      <alignment horizontal="left" indent="1"/>
    </xf>
    <xf numFmtId="0" fontId="19" fillId="0" borderId="0" xfId="1" applyFont="1" applyBorder="1" applyAlignment="1">
      <alignment vertical="center" wrapText="1"/>
    </xf>
    <xf numFmtId="0" fontId="19" fillId="0" borderId="0" xfId="1" applyFont="1" applyFill="1" applyBorder="1" applyAlignment="1"/>
    <xf numFmtId="0" fontId="19" fillId="0" borderId="8" xfId="1" applyFont="1" applyFill="1" applyBorder="1" applyAlignment="1"/>
    <xf numFmtId="0" fontId="19" fillId="0" borderId="0" xfId="3" quotePrefix="1" applyFont="1" applyBorder="1" applyAlignment="1">
      <alignment horizontal="left"/>
    </xf>
    <xf numFmtId="0" fontId="19" fillId="0" borderId="0" xfId="1" applyFont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/>
    </xf>
    <xf numFmtId="0" fontId="19" fillId="0" borderId="8" xfId="1" applyFont="1" applyFill="1" applyBorder="1" applyAlignment="1">
      <alignment horizontal="left"/>
    </xf>
    <xf numFmtId="0" fontId="19" fillId="0" borderId="0" xfId="0" applyFont="1" applyBorder="1" applyAlignment="1">
      <alignment horizontal="left"/>
    </xf>
    <xf numFmtId="174" fontId="18" fillId="0" borderId="0" xfId="1" applyNumberFormat="1" applyFont="1" applyBorder="1" applyAlignment="1">
      <alignment horizontal="center" vertical="center"/>
    </xf>
    <xf numFmtId="174" fontId="18" fillId="0" borderId="0" xfId="5" applyNumberFormat="1" applyFont="1" applyBorder="1" applyAlignment="1">
      <alignment horizontal="center" vertical="center" wrapText="1"/>
    </xf>
    <xf numFmtId="0" fontId="19" fillId="0" borderId="8" xfId="1" applyFont="1" applyBorder="1" applyAlignment="1"/>
    <xf numFmtId="0" fontId="19" fillId="0" borderId="7" xfId="1" applyFont="1" applyBorder="1" applyAlignment="1"/>
    <xf numFmtId="0" fontId="18" fillId="0" borderId="5" xfId="1" applyFont="1" applyBorder="1" applyAlignment="1">
      <alignment vertical="center" wrapText="1"/>
    </xf>
    <xf numFmtId="0" fontId="18" fillId="0" borderId="0" xfId="1" applyFont="1" applyBorder="1" applyAlignment="1">
      <alignment horizontal="center" vertical="center" wrapText="1"/>
    </xf>
    <xf numFmtId="0" fontId="19" fillId="0" borderId="3" xfId="1" applyFont="1" applyBorder="1" applyAlignment="1"/>
    <xf numFmtId="0" fontId="19" fillId="0" borderId="4" xfId="1" applyFont="1" applyBorder="1" applyAlignment="1"/>
    <xf numFmtId="0" fontId="18" fillId="0" borderId="12" xfId="1" applyFont="1" applyBorder="1" applyAlignment="1">
      <alignment vertical="center" wrapText="1"/>
    </xf>
    <xf numFmtId="0" fontId="18" fillId="0" borderId="1" xfId="1" applyFont="1" applyBorder="1" applyAlignment="1">
      <alignment vertical="center" wrapText="1"/>
    </xf>
    <xf numFmtId="0" fontId="18" fillId="0" borderId="0" xfId="1" applyFont="1" applyBorder="1" applyAlignment="1">
      <alignment horizontal="left" vertical="center" wrapText="1"/>
    </xf>
    <xf numFmtId="0" fontId="19" fillId="0" borderId="6" xfId="1" applyFont="1" applyBorder="1" applyAlignment="1">
      <alignment vertical="center"/>
    </xf>
    <xf numFmtId="0" fontId="19" fillId="0" borderId="9" xfId="1" applyFont="1" applyBorder="1" applyAlignment="1">
      <alignment vertical="center"/>
    </xf>
    <xf numFmtId="0" fontId="19" fillId="0" borderId="0" xfId="1" applyFont="1" applyBorder="1" applyAlignment="1">
      <alignment vertical="center"/>
    </xf>
    <xf numFmtId="0" fontId="19" fillId="0" borderId="10" xfId="1" applyFont="1" applyBorder="1" applyAlignment="1">
      <alignment vertical="center"/>
    </xf>
    <xf numFmtId="0" fontId="19" fillId="0" borderId="8" xfId="1" applyFont="1" applyBorder="1" applyAlignment="1">
      <alignment vertical="center"/>
    </xf>
    <xf numFmtId="0" fontId="19" fillId="0" borderId="7" xfId="1" applyFont="1" applyBorder="1" applyAlignment="1">
      <alignment vertical="center"/>
    </xf>
    <xf numFmtId="0" fontId="19" fillId="0" borderId="0" xfId="1" applyFont="1" applyAlignment="1">
      <alignment horizontal="center"/>
    </xf>
    <xf numFmtId="0" fontId="19" fillId="0" borderId="0" xfId="1" applyFont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164" fontId="19" fillId="0" borderId="0" xfId="4" applyNumberFormat="1" applyFont="1" applyBorder="1" applyAlignment="1">
      <alignment horizontal="center" vertical="center"/>
    </xf>
    <xf numFmtId="174" fontId="19" fillId="0" borderId="0" xfId="1" applyNumberFormat="1" applyFont="1" applyBorder="1" applyAlignment="1">
      <alignment horizontal="center" vertical="center"/>
    </xf>
    <xf numFmtId="174" fontId="19" fillId="0" borderId="0" xfId="5" applyNumberFormat="1" applyFont="1" applyBorder="1" applyAlignment="1">
      <alignment horizontal="center" vertical="center" wrapText="1"/>
    </xf>
    <xf numFmtId="0" fontId="19" fillId="0" borderId="0" xfId="1" applyFont="1" applyBorder="1" applyAlignment="1">
      <alignment horizontal="left" indent="4"/>
    </xf>
    <xf numFmtId="0" fontId="18" fillId="0" borderId="5" xfId="4" applyNumberFormat="1" applyFont="1" applyBorder="1" applyAlignment="1">
      <alignment horizontal="center" vertical="center"/>
    </xf>
    <xf numFmtId="0" fontId="19" fillId="0" borderId="27" xfId="1" applyFont="1" applyBorder="1"/>
    <xf numFmtId="0" fontId="19" fillId="0" borderId="27" xfId="1" applyFont="1" applyBorder="1" applyAlignment="1">
      <alignment horizontal="left" vertical="center"/>
    </xf>
    <xf numFmtId="0" fontId="20" fillId="0" borderId="27" xfId="1" applyFont="1" applyBorder="1"/>
    <xf numFmtId="0" fontId="19" fillId="0" borderId="27" xfId="3" applyFont="1" applyBorder="1" applyAlignment="1">
      <alignment horizontal="left"/>
    </xf>
    <xf numFmtId="0" fontId="19" fillId="0" borderId="27" xfId="1" applyFont="1" applyBorder="1" applyAlignment="1">
      <alignment horizontal="left"/>
    </xf>
    <xf numFmtId="0" fontId="1" fillId="0" borderId="27" xfId="1" applyFont="1" applyBorder="1"/>
    <xf numFmtId="0" fontId="1" fillId="0" borderId="28" xfId="1" applyFont="1" applyBorder="1"/>
    <xf numFmtId="0" fontId="1" fillId="0" borderId="29" xfId="1" applyFont="1" applyBorder="1"/>
    <xf numFmtId="0" fontId="19" fillId="0" borderId="0" xfId="1" applyFont="1" applyAlignment="1"/>
    <xf numFmtId="0" fontId="19" fillId="0" borderId="0" xfId="1" applyFont="1" applyBorder="1" applyAlignment="1">
      <alignment wrapText="1"/>
    </xf>
    <xf numFmtId="0" fontId="19" fillId="0" borderId="30" xfId="3" applyFont="1" applyBorder="1" applyAlignment="1">
      <alignment horizontal="center"/>
    </xf>
    <xf numFmtId="0" fontId="19" fillId="0" borderId="33" xfId="3" applyFont="1" applyBorder="1" applyAlignment="1">
      <alignment horizontal="center"/>
    </xf>
    <xf numFmtId="0" fontId="18" fillId="0" borderId="34" xfId="1" applyFont="1" applyBorder="1" applyAlignment="1">
      <alignment horizontal="left" vertical="center"/>
    </xf>
    <xf numFmtId="0" fontId="18" fillId="0" borderId="36" xfId="1" applyFont="1" applyBorder="1" applyAlignment="1">
      <alignment vertical="center" wrapText="1"/>
    </xf>
    <xf numFmtId="0" fontId="18" fillId="0" borderId="11" xfId="1" applyFont="1" applyBorder="1" applyAlignment="1">
      <alignment horizontal="center" vertical="center"/>
    </xf>
    <xf numFmtId="0" fontId="19" fillId="0" borderId="37" xfId="3" applyFont="1" applyBorder="1" applyAlignment="1">
      <alignment horizontal="center"/>
    </xf>
    <xf numFmtId="0" fontId="19" fillId="0" borderId="38" xfId="3" applyFont="1" applyBorder="1" applyAlignment="1">
      <alignment horizontal="left" wrapText="1"/>
    </xf>
    <xf numFmtId="0" fontId="19" fillId="0" borderId="40" xfId="1" applyFont="1" applyBorder="1" applyAlignment="1">
      <alignment horizontal="center"/>
    </xf>
    <xf numFmtId="0" fontId="19" fillId="0" borderId="41" xfId="1" applyFont="1" applyBorder="1" applyAlignment="1">
      <alignment horizontal="center"/>
    </xf>
    <xf numFmtId="0" fontId="18" fillId="0" borderId="0" xfId="1" applyFont="1" applyBorder="1" applyAlignment="1">
      <alignment horizontal="left" vertical="center" indent="1"/>
    </xf>
    <xf numFmtId="0" fontId="1" fillId="0" borderId="0" xfId="1" applyFont="1" applyBorder="1" applyAlignment="1">
      <alignment horizontal="center"/>
    </xf>
    <xf numFmtId="0" fontId="17" fillId="0" borderId="0" xfId="1" applyFont="1" applyBorder="1" applyAlignment="1">
      <alignment horizontal="left" vertical="center" wrapText="1" indent="6"/>
    </xf>
    <xf numFmtId="0" fontId="19" fillId="0" borderId="0" xfId="1" applyFont="1" applyBorder="1" applyAlignment="1">
      <alignment horizontal="left" vertical="center" wrapText="1" indent="1"/>
    </xf>
    <xf numFmtId="173" fontId="19" fillId="0" borderId="0" xfId="1" applyNumberFormat="1" applyFont="1" applyFill="1" applyBorder="1" applyAlignment="1">
      <alignment horizontal="center" wrapText="1"/>
    </xf>
    <xf numFmtId="173" fontId="19" fillId="0" borderId="0" xfId="1" applyNumberFormat="1" applyFont="1" applyFill="1" applyBorder="1" applyAlignment="1">
      <alignment horizontal="center" vertical="center" wrapText="1"/>
    </xf>
    <xf numFmtId="173" fontId="19" fillId="0" borderId="0" xfId="1" applyNumberFormat="1" applyFont="1" applyBorder="1" applyAlignment="1">
      <alignment horizontal="center" wrapText="1"/>
    </xf>
    <xf numFmtId="173" fontId="19" fillId="0" borderId="0" xfId="1" applyNumberFormat="1" applyFont="1" applyBorder="1" applyAlignment="1">
      <alignment wrapText="1"/>
    </xf>
    <xf numFmtId="174" fontId="19" fillId="0" borderId="0" xfId="1" applyNumberFormat="1" applyFont="1" applyBorder="1" applyAlignment="1">
      <alignment horizontal="center" vertical="center" wrapText="1"/>
    </xf>
    <xf numFmtId="174" fontId="19" fillId="0" borderId="0" xfId="1" applyNumberFormat="1" applyFont="1" applyBorder="1" applyAlignment="1">
      <alignment horizontal="center" wrapText="1"/>
    </xf>
    <xf numFmtId="0" fontId="18" fillId="0" borderId="5" xfId="1" applyFont="1" applyBorder="1" applyAlignment="1">
      <alignment horizontal="center"/>
    </xf>
    <xf numFmtId="0" fontId="18" fillId="7" borderId="34" xfId="1" applyFont="1" applyFill="1" applyBorder="1"/>
    <xf numFmtId="0" fontId="18" fillId="7" borderId="35" xfId="1" applyFont="1" applyFill="1" applyBorder="1" applyAlignment="1">
      <alignment horizontal="center"/>
    </xf>
    <xf numFmtId="0" fontId="18" fillId="7" borderId="35" xfId="1" applyFont="1" applyFill="1" applyBorder="1" applyAlignment="1">
      <alignment horizontal="left"/>
    </xf>
    <xf numFmtId="174" fontId="18" fillId="0" borderId="34" xfId="1" applyNumberFormat="1" applyFont="1" applyBorder="1" applyAlignment="1">
      <alignment vertical="center"/>
    </xf>
    <xf numFmtId="174" fontId="18" fillId="0" borderId="5" xfId="1" applyNumberFormat="1" applyFont="1" applyBorder="1" applyAlignment="1">
      <alignment vertical="center"/>
    </xf>
    <xf numFmtId="0" fontId="19" fillId="0" borderId="38" xfId="3" applyFont="1" applyBorder="1" applyAlignment="1">
      <alignment wrapText="1"/>
    </xf>
    <xf numFmtId="0" fontId="19" fillId="0" borderId="0" xfId="1" applyFont="1" applyBorder="1" applyAlignment="1">
      <alignment horizontal="left" indent="7"/>
    </xf>
    <xf numFmtId="0" fontId="18" fillId="0" borderId="0" xfId="1" applyFont="1" applyBorder="1" applyAlignment="1">
      <alignment horizontal="left" vertical="center"/>
    </xf>
    <xf numFmtId="0" fontId="18" fillId="0" borderId="0" xfId="4" applyNumberFormat="1" applyFont="1" applyBorder="1" applyAlignment="1">
      <alignment horizontal="center" vertical="center"/>
    </xf>
    <xf numFmtId="0" fontId="18" fillId="7" borderId="51" xfId="1" applyFont="1" applyFill="1" applyBorder="1"/>
    <xf numFmtId="0" fontId="18" fillId="7" borderId="52" xfId="1" applyFont="1" applyFill="1" applyBorder="1" applyAlignment="1">
      <alignment horizontal="center"/>
    </xf>
    <xf numFmtId="0" fontId="18" fillId="7" borderId="52" xfId="1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174" fontId="18" fillId="0" borderId="0" xfId="1" applyNumberFormat="1" applyFont="1" applyBorder="1" applyAlignment="1">
      <alignment vertical="center"/>
    </xf>
    <xf numFmtId="0" fontId="18" fillId="0" borderId="0" xfId="1" applyFont="1" applyAlignment="1">
      <alignment horizontal="left" indent="1"/>
    </xf>
    <xf numFmtId="0" fontId="19" fillId="0" borderId="31" xfId="3" applyFont="1" applyBorder="1" applyAlignment="1">
      <alignment horizontal="center"/>
    </xf>
    <xf numFmtId="0" fontId="9" fillId="0" borderId="0" xfId="0" applyFont="1" applyAlignment="1">
      <alignment horizontal="left"/>
    </xf>
    <xf numFmtId="0" fontId="5" fillId="0" borderId="0" xfId="0" applyFont="1" applyBorder="1" applyAlignment="1">
      <alignment vertical="center"/>
    </xf>
    <xf numFmtId="0" fontId="22" fillId="7" borderId="35" xfId="1" applyFont="1" applyFill="1" applyBorder="1" applyAlignment="1">
      <alignment horizontal="center"/>
    </xf>
    <xf numFmtId="0" fontId="18" fillId="0" borderId="12" xfId="1" applyNumberFormat="1" applyFont="1" applyBorder="1" applyAlignment="1">
      <alignment horizontal="left" vertical="center"/>
    </xf>
    <xf numFmtId="0" fontId="18" fillId="0" borderId="8" xfId="1" applyNumberFormat="1" applyFont="1" applyBorder="1" applyAlignment="1">
      <alignment horizontal="left" vertical="center"/>
    </xf>
    <xf numFmtId="171" fontId="18" fillId="0" borderId="12" xfId="1" applyNumberFormat="1" applyFont="1" applyBorder="1" applyAlignment="1">
      <alignment horizontal="left" vertical="center"/>
    </xf>
    <xf numFmtId="167" fontId="18" fillId="0" borderId="12" xfId="1" applyNumberFormat="1" applyFont="1" applyBorder="1" applyAlignment="1">
      <alignment horizontal="left" vertical="center"/>
    </xf>
    <xf numFmtId="43" fontId="19" fillId="0" borderId="40" xfId="2" applyFont="1" applyFill="1" applyBorder="1" applyAlignment="1">
      <alignment wrapText="1"/>
    </xf>
    <xf numFmtId="0" fontId="21" fillId="0" borderId="14" xfId="0" applyFont="1" applyBorder="1" applyAlignment="1">
      <alignment horizontal="center"/>
    </xf>
    <xf numFmtId="43" fontId="0" fillId="0" borderId="14" xfId="2" applyFont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3" borderId="19" xfId="0" applyFont="1" applyFill="1" applyBorder="1"/>
    <xf numFmtId="0" fontId="3" fillId="0" borderId="0" xfId="0" applyFont="1" applyAlignment="1">
      <alignment wrapText="1"/>
    </xf>
    <xf numFmtId="0" fontId="3" fillId="0" borderId="0" xfId="0" applyFont="1" applyAlignment="1">
      <alignment vertical="center" wrapText="1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4" fillId="8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0" fontId="4" fillId="4" borderId="5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8" borderId="5" xfId="0" applyFont="1" applyFill="1" applyBorder="1"/>
    <xf numFmtId="0" fontId="4" fillId="8" borderId="5" xfId="0" applyFont="1" applyFill="1" applyBorder="1" applyAlignment="1">
      <alignment wrapText="1"/>
    </xf>
    <xf numFmtId="0" fontId="4" fillId="8" borderId="5" xfId="0" applyFont="1" applyFill="1" applyBorder="1" applyAlignment="1">
      <alignment vertical="center" wrapText="1"/>
    </xf>
    <xf numFmtId="0" fontId="35" fillId="0" borderId="5" xfId="6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1" fillId="5" borderId="5" xfId="0" applyFont="1" applyFill="1" applyBorder="1" applyAlignment="1">
      <alignment vertical="center"/>
    </xf>
    <xf numFmtId="0" fontId="38" fillId="0" borderId="0" xfId="6" applyFont="1"/>
    <xf numFmtId="0" fontId="3" fillId="0" borderId="5" xfId="0" applyFont="1" applyBorder="1"/>
    <xf numFmtId="0" fontId="6" fillId="0" borderId="19" xfId="0" quotePrefix="1" applyFont="1" applyBorder="1" applyAlignment="1">
      <alignment horizontal="left"/>
    </xf>
    <xf numFmtId="0" fontId="11" fillId="5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6" fillId="0" borderId="11" xfId="0" applyFont="1" applyFill="1" applyBorder="1" applyAlignment="1">
      <alignment horizontal="left" indent="1"/>
    </xf>
    <xf numFmtId="0" fontId="7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vertical="center"/>
    </xf>
    <xf numFmtId="0" fontId="3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32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right" vertical="center"/>
    </xf>
    <xf numFmtId="0" fontId="15" fillId="0" borderId="0" xfId="0" applyFont="1" applyAlignment="1">
      <alignment vertical="center"/>
    </xf>
    <xf numFmtId="0" fontId="3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left" vertical="center"/>
    </xf>
    <xf numFmtId="0" fontId="15" fillId="0" borderId="0" xfId="0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33" fillId="0" borderId="0" xfId="0" applyFont="1" applyAlignment="1">
      <alignment horizontal="right" vertical="center"/>
    </xf>
    <xf numFmtId="0" fontId="13" fillId="0" borderId="5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23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41" fillId="0" borderId="0" xfId="0" applyFont="1" applyAlignment="1">
      <alignment vertical="center"/>
    </xf>
    <xf numFmtId="0" fontId="40" fillId="0" borderId="0" xfId="0" applyFont="1" applyBorder="1" applyAlignment="1">
      <alignment vertical="center"/>
    </xf>
    <xf numFmtId="0" fontId="40" fillId="0" borderId="3" xfId="0" applyFont="1" applyBorder="1" applyAlignment="1">
      <alignment vertical="center"/>
    </xf>
    <xf numFmtId="0" fontId="40" fillId="0" borderId="0" xfId="0" applyFont="1" applyBorder="1" applyAlignment="1">
      <alignment horizontal="left" indent="4"/>
    </xf>
    <xf numFmtId="0" fontId="16" fillId="0" borderId="11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/>
    <xf numFmtId="0" fontId="6" fillId="0" borderId="0" xfId="0" applyFont="1" applyFill="1" applyBorder="1" applyAlignment="1"/>
    <xf numFmtId="0" fontId="7" fillId="0" borderId="0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/>
    <xf numFmtId="0" fontId="6" fillId="0" borderId="0" xfId="0" applyFont="1" applyFill="1" applyBorder="1" applyAlignment="1">
      <alignment horizontal="left"/>
    </xf>
    <xf numFmtId="0" fontId="13" fillId="0" borderId="0" xfId="0" applyFont="1" applyFill="1" applyBorder="1"/>
    <xf numFmtId="169" fontId="6" fillId="0" borderId="8" xfId="2" applyNumberFormat="1" applyFont="1" applyFill="1" applyBorder="1"/>
    <xf numFmtId="2" fontId="6" fillId="0" borderId="5" xfId="0" applyNumberFormat="1" applyFont="1" applyFill="1" applyBorder="1" applyAlignment="1">
      <alignment horizontal="center"/>
    </xf>
    <xf numFmtId="167" fontId="23" fillId="0" borderId="0" xfId="0" applyNumberFormat="1" applyFont="1" applyFill="1" applyBorder="1"/>
    <xf numFmtId="0" fontId="7" fillId="0" borderId="0" xfId="0" applyFont="1" applyFill="1" applyAlignment="1">
      <alignment horizontal="right"/>
    </xf>
    <xf numFmtId="168" fontId="6" fillId="0" borderId="8" xfId="2" applyNumberFormat="1" applyFont="1" applyFill="1" applyBorder="1"/>
    <xf numFmtId="170" fontId="6" fillId="0" borderId="12" xfId="0" applyNumberFormat="1" applyFont="1" applyFill="1" applyBorder="1"/>
    <xf numFmtId="43" fontId="6" fillId="0" borderId="0" xfId="2" applyFont="1" applyFill="1" applyBorder="1"/>
    <xf numFmtId="0" fontId="15" fillId="0" borderId="0" xfId="0" applyFont="1" applyFill="1" applyBorder="1"/>
    <xf numFmtId="43" fontId="7" fillId="0" borderId="55" xfId="2" applyFont="1" applyFill="1" applyBorder="1"/>
    <xf numFmtId="0" fontId="7" fillId="0" borderId="0" xfId="0" applyFont="1" applyFill="1" applyBorder="1" applyAlignment="1">
      <alignment horizontal="left" indent="2"/>
    </xf>
    <xf numFmtId="0" fontId="10" fillId="0" borderId="0" xfId="0" applyFont="1" applyFill="1" applyBorder="1" applyAlignment="1"/>
    <xf numFmtId="43" fontId="7" fillId="0" borderId="0" xfId="2" applyFont="1" applyFill="1" applyBorder="1"/>
    <xf numFmtId="0" fontId="13" fillId="0" borderId="0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6" fillId="9" borderId="0" xfId="0" applyFont="1" applyFill="1" applyBorder="1"/>
    <xf numFmtId="0" fontId="16" fillId="0" borderId="5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43" fillId="0" borderId="0" xfId="0" applyFont="1" applyFill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45" fillId="0" borderId="0" xfId="7" applyFont="1"/>
    <xf numFmtId="0" fontId="46" fillId="0" borderId="0" xfId="7" applyFont="1" applyAlignment="1">
      <alignment vertical="center"/>
    </xf>
    <xf numFmtId="0" fontId="45" fillId="0" borderId="0" xfId="7" applyFont="1" applyAlignment="1">
      <alignment vertical="center"/>
    </xf>
    <xf numFmtId="0" fontId="47" fillId="0" borderId="0" xfId="7" applyFont="1"/>
    <xf numFmtId="0" fontId="48" fillId="0" borderId="12" xfId="7" applyFont="1" applyBorder="1" applyAlignment="1">
      <alignment vertical="center"/>
    </xf>
    <xf numFmtId="0" fontId="48" fillId="0" borderId="8" xfId="7" applyFont="1" applyBorder="1" applyAlignment="1">
      <alignment vertical="center"/>
    </xf>
    <xf numFmtId="0" fontId="44" fillId="0" borderId="8" xfId="7" applyFont="1" applyBorder="1" applyAlignment="1">
      <alignment vertical="center"/>
    </xf>
    <xf numFmtId="0" fontId="46" fillId="0" borderId="0" xfId="7" applyFont="1" applyAlignment="1">
      <alignment horizontal="left" vertical="center"/>
    </xf>
    <xf numFmtId="0" fontId="44" fillId="0" borderId="12" xfId="7" applyFont="1" applyBorder="1" applyAlignment="1">
      <alignment vertical="center"/>
    </xf>
    <xf numFmtId="0" fontId="45" fillId="2" borderId="56" xfId="7" applyFont="1" applyFill="1" applyBorder="1"/>
    <xf numFmtId="0" fontId="44" fillId="2" borderId="8" xfId="7" quotePrefix="1" applyFont="1" applyFill="1" applyBorder="1" applyAlignment="1">
      <alignment vertical="center" wrapText="1"/>
    </xf>
    <xf numFmtId="0" fontId="44" fillId="2" borderId="8" xfId="7" applyFont="1" applyFill="1" applyBorder="1" applyAlignment="1">
      <alignment vertical="center" wrapText="1"/>
    </xf>
    <xf numFmtId="0" fontId="50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48" fillId="0" borderId="0" xfId="7" applyFont="1"/>
    <xf numFmtId="0" fontId="51" fillId="0" borderId="0" xfId="7" applyFont="1" applyBorder="1" applyAlignment="1">
      <alignment horizontal="center" vertical="center"/>
    </xf>
    <xf numFmtId="0" fontId="54" fillId="0" borderId="5" xfId="7" applyFont="1" applyBorder="1" applyAlignment="1">
      <alignment horizontal="center" vertical="center"/>
    </xf>
    <xf numFmtId="0" fontId="54" fillId="0" borderId="0" xfId="7" applyFont="1" applyBorder="1" applyAlignment="1">
      <alignment horizontal="center" vertical="center"/>
    </xf>
    <xf numFmtId="0" fontId="49" fillId="0" borderId="12" xfId="7" applyFont="1" applyBorder="1" applyAlignment="1">
      <alignment horizontal="left" vertical="center"/>
    </xf>
    <xf numFmtId="0" fontId="47" fillId="0" borderId="0" xfId="7" applyFont="1" applyAlignment="1">
      <alignment vertical="center"/>
    </xf>
    <xf numFmtId="0" fontId="48" fillId="0" borderId="59" xfId="7" applyFont="1" applyBorder="1" applyAlignment="1">
      <alignment vertical="center"/>
    </xf>
    <xf numFmtId="0" fontId="48" fillId="0" borderId="60" xfId="7" applyFont="1" applyBorder="1" applyAlignment="1">
      <alignment vertical="center"/>
    </xf>
    <xf numFmtId="0" fontId="48" fillId="2" borderId="58" xfId="7" applyFont="1" applyFill="1" applyBorder="1"/>
    <xf numFmtId="0" fontId="44" fillId="2" borderId="59" xfId="7" applyFont="1" applyFill="1" applyBorder="1" applyAlignment="1">
      <alignment vertical="center" wrapText="1"/>
    </xf>
    <xf numFmtId="0" fontId="48" fillId="0" borderId="67" xfId="7" applyFont="1" applyBorder="1" applyAlignment="1">
      <alignment vertical="center"/>
    </xf>
    <xf numFmtId="0" fontId="55" fillId="2" borderId="56" xfId="7" quotePrefix="1" applyFont="1" applyFill="1" applyBorder="1" applyAlignment="1">
      <alignment horizontal="center" vertical="center" wrapText="1"/>
    </xf>
    <xf numFmtId="0" fontId="55" fillId="2" borderId="56" xfId="7" applyFont="1" applyFill="1" applyBorder="1" applyAlignment="1">
      <alignment vertical="center"/>
    </xf>
    <xf numFmtId="0" fontId="55" fillId="2" borderId="56" xfId="7" applyFont="1" applyFill="1" applyBorder="1" applyAlignment="1">
      <alignment horizontal="center" vertical="center" wrapText="1"/>
    </xf>
    <xf numFmtId="0" fontId="55" fillId="2" borderId="57" xfId="7" applyFont="1" applyFill="1" applyBorder="1" applyAlignment="1">
      <alignment horizontal="left" vertical="center"/>
    </xf>
    <xf numFmtId="0" fontId="12" fillId="0" borderId="0" xfId="0" applyFont="1" applyFill="1" applyBorder="1"/>
    <xf numFmtId="0" fontId="6" fillId="0" borderId="0" xfId="0" applyFont="1" applyAlignment="1">
      <alignment horizontal="left" vertical="center"/>
    </xf>
    <xf numFmtId="0" fontId="42" fillId="0" borderId="0" xfId="0" applyFont="1" applyAlignment="1">
      <alignment vertical="center"/>
    </xf>
    <xf numFmtId="0" fontId="8" fillId="10" borderId="5" xfId="0" applyFont="1" applyFill="1" applyBorder="1" applyAlignment="1">
      <alignment horizontal="left" vertical="center" indent="1"/>
    </xf>
    <xf numFmtId="0" fontId="19" fillId="0" borderId="3" xfId="1" applyFont="1" applyBorder="1" applyAlignment="1">
      <alignment horizontal="center"/>
    </xf>
    <xf numFmtId="0" fontId="18" fillId="0" borderId="6" xfId="1" applyFont="1" applyBorder="1" applyAlignment="1">
      <alignment horizontal="center" vertical="center"/>
    </xf>
    <xf numFmtId="0" fontId="19" fillId="0" borderId="43" xfId="1" applyFont="1" applyBorder="1" applyAlignment="1">
      <alignment horizontal="center"/>
    </xf>
    <xf numFmtId="0" fontId="19" fillId="0" borderId="32" xfId="3" applyFont="1" applyBorder="1" applyAlignment="1">
      <alignment horizontal="left" wrapText="1"/>
    </xf>
    <xf numFmtId="0" fontId="18" fillId="0" borderId="70" xfId="1" applyFont="1" applyBorder="1" applyAlignment="1">
      <alignment vertical="center" wrapText="1"/>
    </xf>
    <xf numFmtId="0" fontId="48" fillId="0" borderId="65" xfId="7" applyFont="1" applyBorder="1" applyAlignment="1">
      <alignment horizontal="left" vertical="center"/>
    </xf>
    <xf numFmtId="0" fontId="48" fillId="0" borderId="12" xfId="7" applyFont="1" applyBorder="1" applyAlignment="1">
      <alignment horizontal="left" vertical="center" wrapText="1"/>
    </xf>
    <xf numFmtId="0" fontId="58" fillId="0" borderId="0" xfId="0" applyFont="1"/>
    <xf numFmtId="0" fontId="59" fillId="3" borderId="0" xfId="0" applyFont="1" applyFill="1" applyAlignment="1">
      <alignment horizontal="center"/>
    </xf>
    <xf numFmtId="0" fontId="59" fillId="0" borderId="0" xfId="0" applyFont="1" applyAlignment="1">
      <alignment horizontal="left"/>
    </xf>
    <xf numFmtId="0" fontId="58" fillId="3" borderId="0" xfId="0" applyFont="1" applyFill="1" applyAlignment="1">
      <alignment horizontal="center"/>
    </xf>
    <xf numFmtId="0" fontId="23" fillId="0" borderId="0" xfId="0" applyFont="1"/>
    <xf numFmtId="0" fontId="58" fillId="0" borderId="0" xfId="0" applyFont="1" applyAlignment="1">
      <alignment horizontal="right"/>
    </xf>
    <xf numFmtId="0" fontId="58" fillId="0" borderId="0" xfId="0" applyFont="1" applyAlignment="1">
      <alignment horizontal="center"/>
    </xf>
    <xf numFmtId="0" fontId="58" fillId="0" borderId="0" xfId="0" applyFont="1" applyProtection="1"/>
    <xf numFmtId="0" fontId="48" fillId="0" borderId="63" xfId="7" applyFont="1" applyBorder="1" applyAlignment="1">
      <alignment vertical="center"/>
    </xf>
    <xf numFmtId="0" fontId="48" fillId="0" borderId="67" xfId="7" applyFont="1" applyBorder="1" applyAlignment="1">
      <alignment horizontal="left" vertical="center"/>
    </xf>
    <xf numFmtId="0" fontId="60" fillId="0" borderId="71" xfId="7" applyFont="1" applyBorder="1" applyAlignment="1">
      <alignment horizontal="left" vertical="center"/>
    </xf>
    <xf numFmtId="0" fontId="45" fillId="0" borderId="71" xfId="7" applyFont="1" applyBorder="1" applyAlignment="1">
      <alignment horizontal="left" vertical="center"/>
    </xf>
    <xf numFmtId="0" fontId="45" fillId="0" borderId="72" xfId="7" applyFont="1" applyBorder="1" applyAlignment="1">
      <alignment horizontal="left" vertical="center"/>
    </xf>
    <xf numFmtId="0" fontId="48" fillId="0" borderId="12" xfId="7" applyFont="1" applyBorder="1" applyAlignment="1">
      <alignment horizontal="left" vertical="center"/>
    </xf>
    <xf numFmtId="0" fontId="27" fillId="0" borderId="0" xfId="0" applyFont="1" applyFill="1" applyBorder="1" applyAlignment="1">
      <alignment horizontal="left" vertical="center" indent="1"/>
    </xf>
    <xf numFmtId="0" fontId="61" fillId="0" borderId="12" xfId="7" applyFont="1" applyBorder="1" applyAlignment="1">
      <alignment vertical="center"/>
    </xf>
    <xf numFmtId="0" fontId="42" fillId="0" borderId="0" xfId="0" applyFont="1" applyFill="1" applyBorder="1" applyAlignment="1">
      <alignment vertical="center"/>
    </xf>
    <xf numFmtId="0" fontId="6" fillId="0" borderId="5" xfId="0" applyFont="1" applyBorder="1" applyAlignment="1">
      <alignment horizontal="left" vertical="center"/>
    </xf>
    <xf numFmtId="0" fontId="48" fillId="0" borderId="12" xfId="7" applyFont="1" applyBorder="1" applyAlignment="1">
      <alignment horizontal="left" vertical="center" wrapText="1"/>
    </xf>
    <xf numFmtId="0" fontId="48" fillId="0" borderId="65" xfId="7" applyFont="1" applyBorder="1" applyAlignment="1">
      <alignment horizontal="left" vertical="center"/>
    </xf>
    <xf numFmtId="0" fontId="48" fillId="0" borderId="68" xfId="7" applyFont="1" applyBorder="1" applyAlignment="1">
      <alignment horizontal="left" vertical="center" wrapText="1"/>
    </xf>
    <xf numFmtId="0" fontId="48" fillId="0" borderId="69" xfId="7" applyFont="1" applyBorder="1" applyAlignment="1">
      <alignment horizontal="left" vertical="center" wrapText="1"/>
    </xf>
    <xf numFmtId="0" fontId="6" fillId="3" borderId="19" xfId="0" applyFont="1" applyFill="1" applyBorder="1" applyAlignment="1">
      <alignment vertical="center"/>
    </xf>
    <xf numFmtId="0" fontId="6" fillId="0" borderId="19" xfId="0" applyFont="1" applyBorder="1" applyAlignment="1">
      <alignment horizontal="left" vertical="center"/>
    </xf>
    <xf numFmtId="0" fontId="6" fillId="0" borderId="19" xfId="0" applyFont="1" applyBorder="1" applyAlignment="1">
      <alignment horizontal="center" vertical="center"/>
    </xf>
    <xf numFmtId="43" fontId="6" fillId="0" borderId="19" xfId="2" applyFont="1" applyBorder="1" applyAlignment="1">
      <alignment horizontal="center" vertical="center"/>
    </xf>
    <xf numFmtId="0" fontId="48" fillId="0" borderId="61" xfId="7" applyFont="1" applyBorder="1" applyAlignment="1">
      <alignment vertical="center"/>
    </xf>
    <xf numFmtId="0" fontId="48" fillId="0" borderId="73" xfId="7" applyFont="1" applyBorder="1" applyAlignment="1">
      <alignment horizontal="left" vertical="center" wrapText="1"/>
    </xf>
    <xf numFmtId="0" fontId="62" fillId="0" borderId="0" xfId="0" applyFont="1" applyAlignment="1">
      <alignment vertical="center"/>
    </xf>
    <xf numFmtId="0" fontId="62" fillId="0" borderId="0" xfId="0" applyFont="1"/>
    <xf numFmtId="0" fontId="63" fillId="0" borderId="5" xfId="7" applyFont="1" applyBorder="1" applyAlignment="1">
      <alignment horizontal="center" vertical="center"/>
    </xf>
    <xf numFmtId="0" fontId="63" fillId="2" borderId="0" xfId="0" applyFont="1" applyFill="1" applyBorder="1" applyAlignment="1">
      <alignment vertical="center"/>
    </xf>
    <xf numFmtId="0" fontId="59" fillId="3" borderId="0" xfId="0" applyFont="1" applyFill="1" applyAlignment="1">
      <alignment horizontal="center" vertical="center"/>
    </xf>
    <xf numFmtId="0" fontId="59" fillId="0" borderId="0" xfId="0" applyFont="1" applyAlignment="1">
      <alignment vertical="center"/>
    </xf>
    <xf numFmtId="0" fontId="59" fillId="0" borderId="0" xfId="0" applyFont="1" applyAlignment="1">
      <alignment horizontal="left" vertical="center"/>
    </xf>
    <xf numFmtId="0" fontId="58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0" fontId="29" fillId="0" borderId="0" xfId="0" applyFont="1" applyAlignment="1">
      <alignment vertical="center"/>
    </xf>
    <xf numFmtId="0" fontId="64" fillId="4" borderId="0" xfId="0" applyFont="1" applyFill="1" applyAlignment="1">
      <alignment horizontal="center"/>
    </xf>
    <xf numFmtId="0" fontId="65" fillId="0" borderId="0" xfId="0" applyFont="1"/>
    <xf numFmtId="0" fontId="35" fillId="0" borderId="0" xfId="6" applyFont="1" applyAlignment="1">
      <alignment vertical="center"/>
    </xf>
    <xf numFmtId="0" fontId="66" fillId="0" borderId="0" xfId="0" applyFont="1"/>
    <xf numFmtId="0" fontId="19" fillId="0" borderId="0" xfId="1" applyFont="1" applyBorder="1" applyAlignment="1">
      <alignment horizontal="left"/>
    </xf>
    <xf numFmtId="0" fontId="69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43" fontId="6" fillId="0" borderId="0" xfId="2" applyFont="1" applyFill="1" applyBorder="1" applyAlignment="1">
      <alignment horizontal="center"/>
    </xf>
    <xf numFmtId="0" fontId="70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71" fillId="0" borderId="0" xfId="0" applyFont="1" applyAlignment="1">
      <alignment vertical="center"/>
    </xf>
    <xf numFmtId="0" fontId="72" fillId="0" borderId="0" xfId="0" applyFont="1" applyFill="1" applyBorder="1"/>
    <xf numFmtId="0" fontId="73" fillId="0" borderId="0" xfId="0" applyFont="1" applyFill="1" applyBorder="1"/>
    <xf numFmtId="0" fontId="74" fillId="0" borderId="0" xfId="0" applyFont="1" applyFill="1" applyBorder="1" applyAlignment="1">
      <alignment vertical="center"/>
    </xf>
    <xf numFmtId="0" fontId="74" fillId="0" borderId="5" xfId="0" applyFont="1" applyFill="1" applyBorder="1" applyAlignment="1" applyProtection="1">
      <alignment horizontal="center" vertical="center"/>
      <protection locked="0"/>
    </xf>
    <xf numFmtId="0" fontId="6" fillId="0" borderId="2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11" xfId="0" applyFont="1" applyFill="1" applyBorder="1" applyAlignment="1">
      <alignment horizontal="left" indent="1"/>
    </xf>
    <xf numFmtId="0" fontId="6" fillId="0" borderId="12" xfId="0" applyFont="1" applyFill="1" applyBorder="1" applyAlignment="1">
      <alignment horizontal="left" indent="1"/>
    </xf>
    <xf numFmtId="0" fontId="6" fillId="0" borderId="1" xfId="0" applyFont="1" applyFill="1" applyBorder="1" applyAlignment="1">
      <alignment horizontal="left" indent="1"/>
    </xf>
    <xf numFmtId="0" fontId="6" fillId="0" borderId="5" xfId="0" applyFont="1" applyFill="1" applyBorder="1" applyAlignment="1"/>
    <xf numFmtId="0" fontId="6" fillId="0" borderId="11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16" fillId="0" borderId="1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" fillId="0" borderId="12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6" fillId="0" borderId="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7" fillId="0" borderId="3" xfId="0" applyFont="1" applyFill="1" applyBorder="1" applyAlignment="1">
      <alignment horizontal="left" vertical="center" wrapText="1"/>
    </xf>
    <xf numFmtId="0" fontId="27" fillId="0" borderId="0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18" xfId="6" applyFill="1" applyBorder="1" applyAlignment="1">
      <alignment horizontal="left"/>
    </xf>
    <xf numFmtId="0" fontId="6" fillId="0" borderId="18" xfId="0" applyFont="1" applyFill="1" applyBorder="1" applyAlignment="1">
      <alignment horizontal="left"/>
    </xf>
    <xf numFmtId="0" fontId="16" fillId="0" borderId="1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5" xfId="0" quotePrefix="1" applyFont="1" applyFill="1" applyBorder="1" applyAlignment="1">
      <alignment vertical="center"/>
    </xf>
    <xf numFmtId="0" fontId="11" fillId="5" borderId="5" xfId="0" applyFont="1" applyFill="1" applyBorder="1" applyAlignment="1">
      <alignment horizontal="center" vertical="center"/>
    </xf>
    <xf numFmtId="0" fontId="6" fillId="0" borderId="5" xfId="0" quotePrefix="1" applyFont="1" applyBorder="1" applyAlignment="1">
      <alignment horizontal="center" vertical="center"/>
    </xf>
    <xf numFmtId="0" fontId="34" fillId="0" borderId="11" xfId="6" applyFill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56" fillId="2" borderId="62" xfId="7" applyFont="1" applyFill="1" applyBorder="1" applyAlignment="1">
      <alignment horizontal="center" vertical="center" wrapText="1"/>
    </xf>
    <xf numFmtId="0" fontId="57" fillId="2" borderId="66" xfId="7" applyFont="1" applyFill="1" applyBorder="1" applyAlignment="1">
      <alignment wrapText="1"/>
    </xf>
    <xf numFmtId="0" fontId="48" fillId="0" borderId="4" xfId="7" applyFont="1" applyBorder="1" applyAlignment="1">
      <alignment horizontal="left" vertical="center" wrapText="1"/>
    </xf>
    <xf numFmtId="0" fontId="48" fillId="0" borderId="8" xfId="7" applyFont="1" applyBorder="1" applyAlignment="1">
      <alignment horizontal="left" vertical="center" wrapText="1"/>
    </xf>
    <xf numFmtId="0" fontId="48" fillId="0" borderId="59" xfId="7" applyFont="1" applyBorder="1" applyAlignment="1">
      <alignment horizontal="left" vertical="center" wrapText="1"/>
    </xf>
    <xf numFmtId="0" fontId="48" fillId="0" borderId="11" xfId="7" applyFont="1" applyBorder="1" applyAlignment="1">
      <alignment horizontal="left" vertical="center" wrapText="1"/>
    </xf>
    <xf numFmtId="0" fontId="48" fillId="0" borderId="12" xfId="7" applyFont="1" applyBorder="1" applyAlignment="1">
      <alignment horizontal="left" vertical="center" wrapText="1"/>
    </xf>
    <xf numFmtId="0" fontId="48" fillId="0" borderId="60" xfId="7" applyFont="1" applyBorder="1" applyAlignment="1">
      <alignment horizontal="left" vertical="center" wrapText="1"/>
    </xf>
    <xf numFmtId="0" fontId="61" fillId="0" borderId="12" xfId="7" applyFont="1" applyBorder="1" applyAlignment="1">
      <alignment horizontal="left" vertical="center" wrapText="1"/>
    </xf>
    <xf numFmtId="0" fontId="48" fillId="0" borderId="63" xfId="7" applyFont="1" applyBorder="1" applyAlignment="1">
      <alignment horizontal="left" vertical="center"/>
    </xf>
    <xf numFmtId="0" fontId="48" fillId="0" borderId="64" xfId="7" applyFont="1" applyBorder="1" applyAlignment="1">
      <alignment horizontal="left" vertical="center"/>
    </xf>
    <xf numFmtId="0" fontId="48" fillId="0" borderId="65" xfId="7" applyFont="1" applyBorder="1" applyAlignment="1">
      <alignment horizontal="left" vertical="center"/>
    </xf>
    <xf numFmtId="0" fontId="19" fillId="0" borderId="38" xfId="3" applyFont="1" applyBorder="1" applyAlignment="1"/>
    <xf numFmtId="0" fontId="19" fillId="0" borderId="39" xfId="3" applyFont="1" applyBorder="1" applyAlignment="1"/>
    <xf numFmtId="0" fontId="18" fillId="0" borderId="23" xfId="1" applyFont="1" applyBorder="1" applyAlignment="1">
      <alignment horizontal="center" vertical="center" wrapText="1"/>
    </xf>
    <xf numFmtId="0" fontId="18" fillId="0" borderId="24" xfId="1" applyFont="1" applyBorder="1" applyAlignment="1">
      <alignment horizontal="center" vertical="center" wrapText="1"/>
    </xf>
    <xf numFmtId="0" fontId="18" fillId="7" borderId="36" xfId="1" applyFont="1" applyFill="1" applyBorder="1" applyAlignment="1">
      <alignment horizontal="center"/>
    </xf>
    <xf numFmtId="0" fontId="18" fillId="7" borderId="12" xfId="1" applyFont="1" applyFill="1" applyBorder="1" applyAlignment="1">
      <alignment horizontal="center"/>
    </xf>
    <xf numFmtId="0" fontId="18" fillId="0" borderId="5" xfId="3" applyFont="1" applyBorder="1" applyAlignment="1">
      <alignment vertical="center" wrapText="1"/>
    </xf>
    <xf numFmtId="0" fontId="18" fillId="0" borderId="5" xfId="1" applyFont="1" applyBorder="1" applyAlignment="1">
      <alignment vertical="center" wrapText="1"/>
    </xf>
    <xf numFmtId="0" fontId="19" fillId="0" borderId="5" xfId="1" applyFont="1" applyBorder="1" applyAlignment="1">
      <alignment horizontal="left" vertical="center" wrapText="1"/>
    </xf>
    <xf numFmtId="0" fontId="18" fillId="0" borderId="2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18" fillId="0" borderId="9" xfId="1" applyFont="1" applyBorder="1" applyAlignment="1">
      <alignment horizontal="center" vertical="center" wrapText="1"/>
    </xf>
    <xf numFmtId="0" fontId="18" fillId="0" borderId="3" xfId="1" applyFont="1" applyBorder="1" applyAlignment="1">
      <alignment horizontal="center" vertical="center" wrapText="1"/>
    </xf>
    <xf numFmtId="0" fontId="18" fillId="0" borderId="0" xfId="1" applyFont="1" applyBorder="1" applyAlignment="1">
      <alignment horizontal="center" vertical="center" wrapText="1"/>
    </xf>
    <xf numFmtId="0" fontId="18" fillId="0" borderId="10" xfId="1" applyFont="1" applyBorder="1" applyAlignment="1">
      <alignment horizontal="center" vertical="center" wrapText="1"/>
    </xf>
    <xf numFmtId="0" fontId="19" fillId="0" borderId="5" xfId="1" applyFont="1" applyBorder="1" applyAlignment="1">
      <alignment vertical="center" wrapText="1"/>
    </xf>
    <xf numFmtId="0" fontId="19" fillId="0" borderId="5" xfId="3" applyFont="1" applyBorder="1" applyAlignment="1">
      <alignment horizontal="left" vertical="center" wrapText="1"/>
    </xf>
    <xf numFmtId="0" fontId="19" fillId="0" borderId="2" xfId="1" applyFont="1" applyBorder="1" applyAlignment="1">
      <alignment vertical="center" wrapText="1"/>
    </xf>
    <xf numFmtId="0" fontId="19" fillId="0" borderId="6" xfId="1" applyFont="1" applyBorder="1" applyAlignment="1">
      <alignment vertical="center" wrapText="1"/>
    </xf>
    <xf numFmtId="0" fontId="19" fillId="0" borderId="3" xfId="1" applyFont="1" applyBorder="1" applyAlignment="1">
      <alignment vertical="center" wrapText="1"/>
    </xf>
    <xf numFmtId="0" fontId="19" fillId="0" borderId="0" xfId="1" applyFont="1" applyBorder="1" applyAlignment="1">
      <alignment vertical="center" wrapText="1"/>
    </xf>
    <xf numFmtId="0" fontId="19" fillId="0" borderId="0" xfId="1" applyFont="1" applyBorder="1" applyAlignment="1">
      <alignment horizontal="left"/>
    </xf>
    <xf numFmtId="0" fontId="18" fillId="0" borderId="11" xfId="1" applyFont="1" applyBorder="1" applyAlignment="1">
      <alignment horizontal="left" vertical="center" wrapText="1"/>
    </xf>
    <xf numFmtId="0" fontId="18" fillId="0" borderId="12" xfId="1" applyFont="1" applyBorder="1" applyAlignment="1">
      <alignment horizontal="left" vertical="center" wrapText="1"/>
    </xf>
    <xf numFmtId="0" fontId="18" fillId="0" borderId="1" xfId="1" applyFont="1" applyBorder="1" applyAlignment="1">
      <alignment horizontal="left" vertical="center" wrapText="1"/>
    </xf>
    <xf numFmtId="172" fontId="19" fillId="0" borderId="5" xfId="1" applyNumberFormat="1" applyFont="1" applyBorder="1" applyAlignment="1">
      <alignment vertical="center" wrapText="1"/>
    </xf>
    <xf numFmtId="0" fontId="24" fillId="0" borderId="25" xfId="1" applyFont="1" applyBorder="1" applyAlignment="1">
      <alignment horizontal="center" vertical="center"/>
    </xf>
    <xf numFmtId="0" fontId="24" fillId="0" borderId="26" xfId="1" applyFont="1" applyBorder="1" applyAlignment="1">
      <alignment horizontal="center" vertical="center"/>
    </xf>
    <xf numFmtId="0" fontId="19" fillId="0" borderId="23" xfId="1" applyFont="1" applyBorder="1" applyAlignment="1">
      <alignment horizontal="center" vertical="center" wrapText="1"/>
    </xf>
    <xf numFmtId="0" fontId="19" fillId="0" borderId="13" xfId="1" applyFont="1" applyBorder="1" applyAlignment="1">
      <alignment horizontal="center" vertical="center" wrapText="1"/>
    </xf>
    <xf numFmtId="172" fontId="19" fillId="0" borderId="23" xfId="1" applyNumberFormat="1" applyFont="1" applyBorder="1" applyAlignment="1">
      <alignment horizontal="center" vertical="center" wrapText="1"/>
    </xf>
    <xf numFmtId="172" fontId="19" fillId="0" borderId="13" xfId="1" applyNumberFormat="1" applyFont="1" applyBorder="1" applyAlignment="1">
      <alignment horizontal="center" vertical="center" wrapText="1"/>
    </xf>
    <xf numFmtId="0" fontId="18" fillId="0" borderId="2" xfId="1" applyFont="1" applyBorder="1" applyAlignment="1">
      <alignment horizontal="left" vertical="center" indent="1"/>
    </xf>
    <xf numFmtId="0" fontId="18" fillId="0" borderId="6" xfId="1" applyFont="1" applyBorder="1" applyAlignment="1">
      <alignment horizontal="left" vertical="center" indent="1"/>
    </xf>
    <xf numFmtId="0" fontId="18" fillId="0" borderId="9" xfId="1" applyFont="1" applyBorder="1" applyAlignment="1">
      <alignment horizontal="left" vertical="center" indent="1"/>
    </xf>
    <xf numFmtId="0" fontId="18" fillId="0" borderId="3" xfId="1" applyFont="1" applyBorder="1" applyAlignment="1">
      <alignment horizontal="left" vertical="center" indent="1"/>
    </xf>
    <xf numFmtId="0" fontId="18" fillId="0" borderId="0" xfId="1" applyFont="1" applyBorder="1" applyAlignment="1">
      <alignment horizontal="left" vertical="center" indent="1"/>
    </xf>
    <xf numFmtId="0" fontId="18" fillId="0" borderId="10" xfId="1" applyFont="1" applyBorder="1" applyAlignment="1">
      <alignment horizontal="left" vertical="center" indent="1"/>
    </xf>
    <xf numFmtId="0" fontId="18" fillId="0" borderId="4" xfId="1" applyFont="1" applyBorder="1" applyAlignment="1">
      <alignment horizontal="left" vertical="center" indent="1"/>
    </xf>
    <xf numFmtId="0" fontId="18" fillId="0" borderId="8" xfId="1" applyFont="1" applyBorder="1" applyAlignment="1">
      <alignment horizontal="left" vertical="center" indent="1"/>
    </xf>
    <xf numFmtId="0" fontId="18" fillId="0" borderId="7" xfId="1" applyFont="1" applyBorder="1" applyAlignment="1">
      <alignment horizontal="left" vertical="center" indent="1"/>
    </xf>
    <xf numFmtId="0" fontId="21" fillId="0" borderId="17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44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19" fillId="0" borderId="49" xfId="3" applyFont="1" applyBorder="1" applyAlignment="1">
      <alignment horizontal="left" wrapText="1"/>
    </xf>
    <xf numFmtId="0" fontId="19" fillId="0" borderId="42" xfId="3" applyFont="1" applyBorder="1" applyAlignment="1">
      <alignment horizontal="left" wrapText="1"/>
    </xf>
    <xf numFmtId="0" fontId="19" fillId="0" borderId="50" xfId="3" applyFont="1" applyBorder="1" applyAlignment="1">
      <alignment horizontal="left" wrapText="1"/>
    </xf>
    <xf numFmtId="171" fontId="19" fillId="0" borderId="2" xfId="1" applyNumberFormat="1" applyFont="1" applyFill="1" applyBorder="1" applyAlignment="1">
      <alignment horizontal="center" vertical="top" wrapText="1"/>
    </xf>
    <xf numFmtId="171" fontId="19" fillId="0" borderId="9" xfId="1" applyNumberFormat="1" applyFont="1" applyFill="1" applyBorder="1" applyAlignment="1">
      <alignment horizontal="center" vertical="top" wrapText="1"/>
    </xf>
    <xf numFmtId="171" fontId="19" fillId="0" borderId="3" xfId="1" applyNumberFormat="1" applyFont="1" applyFill="1" applyBorder="1" applyAlignment="1">
      <alignment horizontal="center" vertical="top" wrapText="1"/>
    </xf>
    <xf numFmtId="171" fontId="19" fillId="0" borderId="10" xfId="1" applyNumberFormat="1" applyFont="1" applyFill="1" applyBorder="1" applyAlignment="1">
      <alignment horizontal="center" vertical="top" wrapText="1"/>
    </xf>
    <xf numFmtId="171" fontId="19" fillId="0" borderId="4" xfId="1" applyNumberFormat="1" applyFont="1" applyFill="1" applyBorder="1" applyAlignment="1">
      <alignment horizontal="center" vertical="top" wrapText="1"/>
    </xf>
    <xf numFmtId="171" fontId="19" fillId="0" borderId="7" xfId="1" applyNumberFormat="1" applyFont="1" applyFill="1" applyBorder="1" applyAlignment="1">
      <alignment horizontal="center" vertical="top" wrapText="1"/>
    </xf>
    <xf numFmtId="0" fontId="19" fillId="0" borderId="46" xfId="3" applyFont="1" applyBorder="1" applyAlignment="1">
      <alignment horizontal="left" wrapText="1"/>
    </xf>
    <xf numFmtId="0" fontId="19" fillId="0" borderId="47" xfId="3" applyFont="1" applyBorder="1" applyAlignment="1">
      <alignment horizontal="left" wrapText="1"/>
    </xf>
    <xf numFmtId="0" fontId="19" fillId="0" borderId="48" xfId="3" applyFont="1" applyBorder="1" applyAlignment="1">
      <alignment horizontal="left" wrapText="1"/>
    </xf>
    <xf numFmtId="0" fontId="18" fillId="7" borderId="53" xfId="1" applyFont="1" applyFill="1" applyBorder="1" applyAlignment="1">
      <alignment horizontal="center"/>
    </xf>
    <xf numFmtId="0" fontId="18" fillId="7" borderId="54" xfId="1" applyFont="1" applyFill="1" applyBorder="1" applyAlignment="1">
      <alignment horizontal="center"/>
    </xf>
    <xf numFmtId="0" fontId="18" fillId="7" borderId="1" xfId="1" applyFont="1" applyFill="1" applyBorder="1" applyAlignment="1">
      <alignment horizontal="center"/>
    </xf>
    <xf numFmtId="0" fontId="19" fillId="0" borderId="9" xfId="1" applyFont="1" applyBorder="1" applyAlignment="1">
      <alignment vertical="center" wrapText="1"/>
    </xf>
    <xf numFmtId="0" fontId="19" fillId="0" borderId="4" xfId="1" applyFont="1" applyBorder="1" applyAlignment="1">
      <alignment vertical="center" wrapText="1"/>
    </xf>
    <xf numFmtId="0" fontId="19" fillId="0" borderId="8" xfId="1" applyFont="1" applyBorder="1" applyAlignment="1">
      <alignment vertical="center" wrapText="1"/>
    </xf>
    <xf numFmtId="0" fontId="19" fillId="0" borderId="7" xfId="1" applyFont="1" applyBorder="1" applyAlignment="1">
      <alignment vertical="center" wrapText="1"/>
    </xf>
    <xf numFmtId="0" fontId="19" fillId="0" borderId="2" xfId="3" applyFont="1" applyBorder="1" applyAlignment="1">
      <alignment horizontal="left" vertical="center" wrapText="1"/>
    </xf>
    <xf numFmtId="0" fontId="19" fillId="0" borderId="9" xfId="3" applyFont="1" applyBorder="1" applyAlignment="1">
      <alignment horizontal="left" vertical="center" wrapText="1"/>
    </xf>
    <xf numFmtId="0" fontId="19" fillId="0" borderId="4" xfId="3" applyFont="1" applyBorder="1" applyAlignment="1">
      <alignment horizontal="left" vertical="center" wrapText="1"/>
    </xf>
    <xf numFmtId="0" fontId="19" fillId="0" borderId="7" xfId="3" applyFont="1" applyBorder="1" applyAlignment="1">
      <alignment horizontal="left" vertical="center" wrapText="1"/>
    </xf>
    <xf numFmtId="0" fontId="18" fillId="0" borderId="11" xfId="1" applyFont="1" applyBorder="1" applyAlignment="1">
      <alignment vertical="center" wrapText="1"/>
    </xf>
    <xf numFmtId="0" fontId="18" fillId="0" borderId="1" xfId="1" applyFont="1" applyBorder="1" applyAlignment="1">
      <alignment vertical="center" wrapText="1"/>
    </xf>
    <xf numFmtId="0" fontId="24" fillId="0" borderId="25" xfId="1" applyFont="1" applyBorder="1" applyAlignment="1">
      <alignment horizontal="left" vertical="center" indent="31"/>
    </xf>
    <xf numFmtId="0" fontId="24" fillId="0" borderId="26" xfId="1" applyFont="1" applyBorder="1" applyAlignment="1">
      <alignment horizontal="left" vertical="center" indent="31"/>
    </xf>
  </cellXfs>
  <cellStyles count="9">
    <cellStyle name="Comma" xfId="2" builtinId="3"/>
    <cellStyle name="Comma 2" xfId="4" xr:uid="{00000000-0005-0000-0000-000001000000}"/>
    <cellStyle name="Currency 2" xfId="5" xr:uid="{00000000-0005-0000-0000-000002000000}"/>
    <cellStyle name="Hyperlink" xfId="6" builtinId="8"/>
    <cellStyle name="Hyperlink 2" xfId="8" xr:uid="{64BE3377-D5B4-4C16-9E40-FA974D794590}"/>
    <cellStyle name="Normal" xfId="0" builtinId="0"/>
    <cellStyle name="Normal 16" xfId="7" xr:uid="{31646C4D-9FAF-41E0-9D44-9967AC69ABE7}"/>
    <cellStyle name="Normal 2" xfId="1" xr:uid="{00000000-0005-0000-0000-000004000000}"/>
    <cellStyle name="Normal 3" xfId="3" xr:uid="{00000000-0005-0000-0000-000005000000}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/>
      </font>
    </dxf>
    <dxf>
      <font>
        <color theme="2" tint="-9.9948118533890809E-2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0000FF"/>
      <color rgb="FFFFFFD5"/>
      <color rgb="FFFFFFCC"/>
      <color rgb="FFCCFFCC"/>
      <color rgb="FFFFFFEB"/>
      <color rgb="FFFFFFFF"/>
      <color rgb="FF000099"/>
      <color rgb="FF003399"/>
      <color rgb="FFFF4343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241789</xdr:colOff>
      <xdr:row>9</xdr:row>
      <xdr:rowOff>153868</xdr:rowOff>
    </xdr:from>
    <xdr:to>
      <xdr:col>16</xdr:col>
      <xdr:colOff>549521</xdr:colOff>
      <xdr:row>34</xdr:row>
      <xdr:rowOff>27624</xdr:rowOff>
    </xdr:to>
    <xdr:pic>
      <xdr:nvPicPr>
        <xdr:cNvPr id="3" name="irc_mi" descr="Image result for shipping couri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36"/>
        <a:stretch/>
      </xdr:blipFill>
      <xdr:spPr bwMode="auto">
        <a:xfrm>
          <a:off x="849924" y="2388580"/>
          <a:ext cx="10514135" cy="4636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19050</xdr:colOff>
      <xdr:row>6</xdr:row>
      <xdr:rowOff>28575</xdr:rowOff>
    </xdr:from>
    <xdr:to>
      <xdr:col>1</xdr:col>
      <xdr:colOff>1562100</xdr:colOff>
      <xdr:row>8</xdr:row>
      <xdr:rowOff>104775</xdr:rowOff>
    </xdr:to>
    <xdr:sp macro="[0]!LauchedFile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8650" y="1619250"/>
          <a:ext cx="1543050" cy="457200"/>
        </a:xfrm>
        <a:prstGeom prst="rect">
          <a:avLst/>
        </a:prstGeom>
        <a:solidFill>
          <a:srgbClr val="0033CC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chemeClr val="bg1"/>
              </a:solidFill>
            </a:rPr>
            <a:t>BOOK</a:t>
          </a:r>
          <a:r>
            <a:rPr lang="en-PH" sz="1100" b="1" baseline="0">
              <a:solidFill>
                <a:schemeClr val="bg1"/>
              </a:solidFill>
            </a:rPr>
            <a:t> SHIPMENT</a:t>
          </a:r>
          <a:endParaRPr lang="en-PH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59531</xdr:colOff>
      <xdr:row>61</xdr:row>
      <xdr:rowOff>142875</xdr:rowOff>
    </xdr:from>
    <xdr:to>
      <xdr:col>18</xdr:col>
      <xdr:colOff>1038225</xdr:colOff>
      <xdr:row>64</xdr:row>
      <xdr:rowOff>146111</xdr:rowOff>
    </xdr:to>
    <xdr:sp macro="[0]!Step1_Cargo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37344" y="11346656"/>
          <a:ext cx="1597819" cy="503299"/>
        </a:xfrm>
        <a:prstGeom prst="rect">
          <a:avLst/>
        </a:prstGeom>
        <a:solidFill>
          <a:srgbClr val="000099"/>
        </a:solidFill>
        <a:ln w="28575">
          <a:solidFill>
            <a:srgbClr val="003399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0">
              <a:solidFill>
                <a:schemeClr val="bg1"/>
              </a:solidFill>
              <a:effectLst/>
            </a:rPr>
            <a:t>SHIPMENT</a:t>
          </a:r>
          <a:r>
            <a:rPr lang="en-PH" sz="1200" b="0" baseline="0">
              <a:solidFill>
                <a:schemeClr val="bg1"/>
              </a:solidFill>
              <a:effectLst/>
            </a:rPr>
            <a:t> REQUEST</a:t>
          </a:r>
          <a:endParaRPr lang="en-PH" sz="1200" b="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43484</xdr:colOff>
      <xdr:row>107</xdr:row>
      <xdr:rowOff>155299</xdr:rowOff>
    </xdr:from>
    <xdr:to>
      <xdr:col>3</xdr:col>
      <xdr:colOff>109745</xdr:colOff>
      <xdr:row>110</xdr:row>
      <xdr:rowOff>72472</xdr:rowOff>
    </xdr:to>
    <xdr:sp macro="[0]!LauchedInvP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0172" y="19026705"/>
          <a:ext cx="1792667" cy="417236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SHOW</a:t>
          </a:r>
          <a:r>
            <a:rPr lang="en-PH" sz="1100" b="1" baseline="0"/>
            <a:t> INVOICE &amp; PL</a:t>
          </a:r>
          <a:endParaRPr lang="en-PH" sz="1100" b="1"/>
        </a:p>
      </xdr:txBody>
    </xdr:sp>
    <xdr:clientData/>
  </xdr:twoCellAnchor>
  <xdr:twoCellAnchor>
    <xdr:from>
      <xdr:col>1</xdr:col>
      <xdr:colOff>43484</xdr:colOff>
      <xdr:row>111</xdr:row>
      <xdr:rowOff>21742</xdr:rowOff>
    </xdr:from>
    <xdr:to>
      <xdr:col>3</xdr:col>
      <xdr:colOff>109745</xdr:colOff>
      <xdr:row>113</xdr:row>
      <xdr:rowOff>105605</xdr:rowOff>
    </xdr:to>
    <xdr:sp macro="[0]!HideInvP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10172" y="19559898"/>
          <a:ext cx="1792667" cy="417238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HIDE</a:t>
          </a:r>
          <a:r>
            <a:rPr lang="en-PH" sz="1100" b="1" baseline="0"/>
            <a:t> INVOICE &amp; PL</a:t>
          </a:r>
          <a:endParaRPr lang="en-PH" sz="1100" b="1"/>
        </a:p>
      </xdr:txBody>
    </xdr:sp>
    <xdr:clientData/>
  </xdr:twoCellAnchor>
  <xdr:twoCellAnchor>
    <xdr:from>
      <xdr:col>1</xdr:col>
      <xdr:colOff>19050</xdr:colOff>
      <xdr:row>118</xdr:row>
      <xdr:rowOff>142875</xdr:rowOff>
    </xdr:from>
    <xdr:to>
      <xdr:col>3</xdr:col>
      <xdr:colOff>85311</xdr:colOff>
      <xdr:row>121</xdr:row>
      <xdr:rowOff>64813</xdr:rowOff>
    </xdr:to>
    <xdr:sp macro="[0]!Step3_Cargo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5" y="20383500"/>
          <a:ext cx="1790286" cy="407713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579781</xdr:colOff>
      <xdr:row>62</xdr:row>
      <xdr:rowOff>7381</xdr:rowOff>
    </xdr:from>
    <xdr:to>
      <xdr:col>9</xdr:col>
      <xdr:colOff>1134369</xdr:colOff>
      <xdr:row>64</xdr:row>
      <xdr:rowOff>26256</xdr:rowOff>
    </xdr:to>
    <xdr:sp macro="[0]!Step1_Doc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36503" y="10466909"/>
          <a:ext cx="1363314" cy="342366"/>
        </a:xfrm>
        <a:prstGeom prst="rect">
          <a:avLst/>
        </a:prstGeom>
        <a:solidFill>
          <a:srgbClr val="000099"/>
        </a:solidFill>
        <a:ln w="28575">
          <a:solidFill>
            <a:srgbClr val="003399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0"/>
            <a:t>SHIPMENT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598716</xdr:colOff>
      <xdr:row>1</xdr:row>
      <xdr:rowOff>122465</xdr:rowOff>
    </xdr:from>
    <xdr:to>
      <xdr:col>14</xdr:col>
      <xdr:colOff>68037</xdr:colOff>
      <xdr:row>4</xdr:row>
      <xdr:rowOff>27215</xdr:rowOff>
    </xdr:to>
    <xdr:sp macro="[0]!Sheet3.Printcargolabe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117287" y="789215"/>
          <a:ext cx="3075214" cy="9252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4000"/>
            <a:t>PRINT</a:t>
          </a:r>
          <a:r>
            <a:rPr lang="en-PH" sz="4000" baseline="0"/>
            <a:t> LABEL</a:t>
          </a:r>
          <a:endParaRPr lang="en-PH" sz="4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557892</xdr:colOff>
      <xdr:row>0</xdr:row>
      <xdr:rowOff>394606</xdr:rowOff>
    </xdr:from>
    <xdr:to>
      <xdr:col>16</xdr:col>
      <xdr:colOff>816427</xdr:colOff>
      <xdr:row>1</xdr:row>
      <xdr:rowOff>653142</xdr:rowOff>
    </xdr:to>
    <xdr:sp macro="[0]!Sheet7.Printdocslabe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076463" y="394606"/>
          <a:ext cx="3075214" cy="9252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4000"/>
            <a:t>PRINT</a:t>
          </a:r>
          <a:r>
            <a:rPr lang="en-PH" sz="4000" baseline="0"/>
            <a:t> LABEL</a:t>
          </a:r>
          <a:endParaRPr lang="en-PH" sz="4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781050</xdr:colOff>
      <xdr:row>36</xdr:row>
      <xdr:rowOff>161925</xdr:rowOff>
    </xdr:from>
    <xdr:to>
      <xdr:col>5</xdr:col>
      <xdr:colOff>19050</xdr:colOff>
      <xdr:row>37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657725" y="7572375"/>
          <a:ext cx="190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="1"/>
            <a:t>:</a:t>
          </a:r>
        </a:p>
      </xdr:txBody>
    </xdr:sp>
    <xdr:clientData/>
  </xdr:twoCellAnchor>
  <xdr:twoCellAnchor>
    <xdr:from>
      <xdr:col>0</xdr:col>
      <xdr:colOff>47625</xdr:colOff>
      <xdr:row>0</xdr:row>
      <xdr:rowOff>28575</xdr:rowOff>
    </xdr:from>
    <xdr:to>
      <xdr:col>2</xdr:col>
      <xdr:colOff>685800</xdr:colOff>
      <xdr:row>0</xdr:row>
      <xdr:rowOff>840513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684"/>
        <a:stretch/>
      </xdr:blipFill>
      <xdr:spPr bwMode="auto">
        <a:xfrm>
          <a:off x="47625" y="28575"/>
          <a:ext cx="1895475" cy="8119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31531</xdr:colOff>
      <xdr:row>60</xdr:row>
      <xdr:rowOff>79813</xdr:rowOff>
    </xdr:from>
    <xdr:to>
      <xdr:col>7</xdr:col>
      <xdr:colOff>895350</xdr:colOff>
      <xdr:row>60</xdr:row>
      <xdr:rowOff>85725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5698906" y="12043213"/>
          <a:ext cx="1797269" cy="5912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0</xdr:row>
          <xdr:rowOff>171450</xdr:rowOff>
        </xdr:from>
        <xdr:to>
          <xdr:col>9</xdr:col>
          <xdr:colOff>762000</xdr:colOff>
          <xdr:row>0</xdr:row>
          <xdr:rowOff>819150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781050</xdr:colOff>
      <xdr:row>36</xdr:row>
      <xdr:rowOff>161925</xdr:rowOff>
    </xdr:from>
    <xdr:to>
      <xdr:col>6</xdr:col>
      <xdr:colOff>19050</xdr:colOff>
      <xdr:row>37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4381500" y="7572375"/>
          <a:ext cx="190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PH" sz="1100" b="1"/>
        </a:p>
      </xdr:txBody>
    </xdr:sp>
    <xdr:clientData/>
  </xdr:twoCellAnchor>
  <xdr:twoCellAnchor>
    <xdr:from>
      <xdr:col>6</xdr:col>
      <xdr:colOff>612556</xdr:colOff>
      <xdr:row>66</xdr:row>
      <xdr:rowOff>85725</xdr:rowOff>
    </xdr:from>
    <xdr:to>
      <xdr:col>8</xdr:col>
      <xdr:colOff>685800</xdr:colOff>
      <xdr:row>66</xdr:row>
      <xdr:rowOff>89339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 flipV="1">
          <a:off x="4889281" y="13077825"/>
          <a:ext cx="1816319" cy="3614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438150</xdr:colOff>
      <xdr:row>52</xdr:row>
      <xdr:rowOff>152400</xdr:rowOff>
    </xdr:from>
    <xdr:to>
      <xdr:col>7</xdr:col>
      <xdr:colOff>628650</xdr:colOff>
      <xdr:row>56</xdr:row>
      <xdr:rowOff>161925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6715125" y="10572750"/>
          <a:ext cx="190500" cy="771525"/>
          <a:chOff x="5638800" y="10572750"/>
          <a:chExt cx="190500" cy="771525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 txBox="1"/>
        </xdr:nvSpPr>
        <xdr:spPr>
          <a:xfrm>
            <a:off x="5648325" y="10953750"/>
            <a:ext cx="1809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100" b="1"/>
              <a:t>: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 txBox="1"/>
        </xdr:nvSpPr>
        <xdr:spPr>
          <a:xfrm>
            <a:off x="5648325" y="11144250"/>
            <a:ext cx="1809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100" b="1"/>
              <a:t>: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 txBox="1"/>
        </xdr:nvSpPr>
        <xdr:spPr>
          <a:xfrm>
            <a:off x="5638800" y="10572750"/>
            <a:ext cx="1809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100" b="1"/>
              <a:t>: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 txBox="1"/>
        </xdr:nvSpPr>
        <xdr:spPr>
          <a:xfrm>
            <a:off x="5648325" y="10763250"/>
            <a:ext cx="1809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100" b="1"/>
              <a:t>:</a:t>
            </a:r>
          </a:p>
        </xdr:txBody>
      </xdr:sp>
    </xdr:grpSp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676275</xdr:colOff>
      <xdr:row>0</xdr:row>
      <xdr:rowOff>850038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684"/>
        <a:stretch/>
      </xdr:blipFill>
      <xdr:spPr bwMode="auto">
        <a:xfrm>
          <a:off x="38100" y="38100"/>
          <a:ext cx="1895475" cy="8119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0</xdr:row>
          <xdr:rowOff>276225</xdr:rowOff>
        </xdr:from>
        <xdr:to>
          <xdr:col>10</xdr:col>
          <xdr:colOff>752475</xdr:colOff>
          <xdr:row>1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pbiphsh07\B1_BIPHCommon\Users\Nikka%20Dianne%20Santos\Desktop\SHIP%20files\Outbound%20Request\Reference%20number%20formul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C1">
            <v>202001001</v>
          </cell>
        </row>
        <row r="2">
          <cell r="C2">
            <v>202001002</v>
          </cell>
        </row>
        <row r="3">
          <cell r="C3">
            <v>202001007</v>
          </cell>
        </row>
        <row r="4">
          <cell r="C4">
            <v>202001008</v>
          </cell>
        </row>
        <row r="5">
          <cell r="C5">
            <v>202001009</v>
          </cell>
        </row>
        <row r="6">
          <cell r="C6">
            <v>202001010</v>
          </cell>
        </row>
        <row r="7">
          <cell r="C7">
            <v>202001011</v>
          </cell>
        </row>
        <row r="8">
          <cell r="C8">
            <v>202001012</v>
          </cell>
        </row>
        <row r="9">
          <cell r="C9">
            <v>202001013</v>
          </cell>
        </row>
        <row r="10">
          <cell r="C10">
            <v>202001014</v>
          </cell>
        </row>
        <row r="11">
          <cell r="C11">
            <v>202001015</v>
          </cell>
        </row>
        <row r="12">
          <cell r="C12">
            <v>202001016</v>
          </cell>
        </row>
        <row r="13">
          <cell r="C13">
            <v>202001017</v>
          </cell>
        </row>
        <row r="14">
          <cell r="C14">
            <v>202001018</v>
          </cell>
        </row>
        <row r="15">
          <cell r="C15">
            <v>202001019</v>
          </cell>
        </row>
        <row r="16">
          <cell r="C16">
            <v>202001020</v>
          </cell>
        </row>
        <row r="17">
          <cell r="C17">
            <v>202001021</v>
          </cell>
        </row>
        <row r="18">
          <cell r="C18">
            <v>202001022</v>
          </cell>
        </row>
        <row r="19">
          <cell r="C19">
            <v>202001023</v>
          </cell>
        </row>
        <row r="20">
          <cell r="C20">
            <v>202001024</v>
          </cell>
        </row>
        <row r="21">
          <cell r="C21">
            <v>202001025</v>
          </cell>
        </row>
        <row r="22">
          <cell r="C22">
            <v>202001026</v>
          </cell>
        </row>
        <row r="23">
          <cell r="C23">
            <v>202001027</v>
          </cell>
        </row>
        <row r="24">
          <cell r="C24">
            <v>202001028</v>
          </cell>
        </row>
        <row r="25">
          <cell r="C25">
            <v>202001029</v>
          </cell>
        </row>
        <row r="26">
          <cell r="C26">
            <v>202001030</v>
          </cell>
        </row>
        <row r="27">
          <cell r="C27">
            <v>202001031</v>
          </cell>
        </row>
        <row r="28">
          <cell r="C28">
            <v>202001032</v>
          </cell>
        </row>
        <row r="29">
          <cell r="C29">
            <v>202001033</v>
          </cell>
        </row>
        <row r="30">
          <cell r="C30">
            <v>202001034</v>
          </cell>
        </row>
        <row r="31">
          <cell r="C31">
            <v>202001035</v>
          </cell>
        </row>
        <row r="32">
          <cell r="C32">
            <v>202001036</v>
          </cell>
        </row>
        <row r="33">
          <cell r="C33">
            <v>202001037</v>
          </cell>
        </row>
        <row r="34">
          <cell r="C34">
            <v>202001038</v>
          </cell>
        </row>
        <row r="35">
          <cell r="C35">
            <v>202001039</v>
          </cell>
        </row>
        <row r="36">
          <cell r="C36">
            <v>202001040</v>
          </cell>
        </row>
        <row r="37">
          <cell r="C37">
            <v>202001041</v>
          </cell>
        </row>
        <row r="38">
          <cell r="C38">
            <v>202001042</v>
          </cell>
        </row>
        <row r="39">
          <cell r="C39">
            <v>202001043</v>
          </cell>
        </row>
        <row r="40">
          <cell r="C40">
            <v>202001044</v>
          </cell>
        </row>
        <row r="41">
          <cell r="C41">
            <v>202001045</v>
          </cell>
        </row>
        <row r="42">
          <cell r="C42">
            <v>202001046</v>
          </cell>
        </row>
        <row r="43">
          <cell r="C43">
            <v>202001047</v>
          </cell>
        </row>
        <row r="44">
          <cell r="C44">
            <v>202001048</v>
          </cell>
        </row>
        <row r="45">
          <cell r="C45">
            <v>202001049</v>
          </cell>
        </row>
        <row r="46">
          <cell r="C46">
            <v>202001050</v>
          </cell>
        </row>
        <row r="47">
          <cell r="C47">
            <v>202001051</v>
          </cell>
        </row>
        <row r="48">
          <cell r="C48">
            <v>202001052</v>
          </cell>
        </row>
        <row r="49">
          <cell r="C49">
            <v>202001053</v>
          </cell>
        </row>
        <row r="50">
          <cell r="C50">
            <v>202001054</v>
          </cell>
        </row>
        <row r="51">
          <cell r="C51">
            <v>202001055</v>
          </cell>
        </row>
        <row r="52">
          <cell r="C52">
            <v>202001056</v>
          </cell>
        </row>
        <row r="53">
          <cell r="C53">
            <v>202001057</v>
          </cell>
        </row>
        <row r="54">
          <cell r="C54">
            <v>202001058</v>
          </cell>
        </row>
        <row r="55">
          <cell r="C55">
            <v>202001059</v>
          </cell>
        </row>
        <row r="56">
          <cell r="C56">
            <v>202001060</v>
          </cell>
        </row>
        <row r="57">
          <cell r="C57">
            <v>202001061</v>
          </cell>
        </row>
        <row r="58">
          <cell r="C58">
            <v>202001062</v>
          </cell>
        </row>
        <row r="59">
          <cell r="C59">
            <v>202001063</v>
          </cell>
        </row>
        <row r="60">
          <cell r="C60">
            <v>202001064</v>
          </cell>
        </row>
        <row r="61">
          <cell r="C61">
            <v>202001065</v>
          </cell>
        </row>
        <row r="62">
          <cell r="C62">
            <v>202001066</v>
          </cell>
        </row>
        <row r="63">
          <cell r="C63">
            <v>202001067</v>
          </cell>
        </row>
        <row r="64">
          <cell r="C64">
            <v>202001068</v>
          </cell>
        </row>
        <row r="65">
          <cell r="C65">
            <v>202001069</v>
          </cell>
        </row>
        <row r="66">
          <cell r="C66">
            <v>202001070</v>
          </cell>
        </row>
        <row r="67">
          <cell r="C67">
            <v>202001071</v>
          </cell>
        </row>
        <row r="68">
          <cell r="C68">
            <v>202001072</v>
          </cell>
        </row>
        <row r="69">
          <cell r="C69">
            <v>202001073</v>
          </cell>
        </row>
        <row r="70">
          <cell r="C70">
            <v>202001074</v>
          </cell>
        </row>
        <row r="71">
          <cell r="C71">
            <v>202001075</v>
          </cell>
        </row>
        <row r="72">
          <cell r="C72">
            <v>202001076</v>
          </cell>
        </row>
        <row r="73">
          <cell r="C73">
            <v>202001077</v>
          </cell>
        </row>
        <row r="74">
          <cell r="C74">
            <v>202001078</v>
          </cell>
        </row>
        <row r="75">
          <cell r="C75">
            <v>202001079</v>
          </cell>
        </row>
        <row r="76">
          <cell r="C76">
            <v>202001080</v>
          </cell>
        </row>
        <row r="77">
          <cell r="C77">
            <v>202001081</v>
          </cell>
        </row>
        <row r="78">
          <cell r="C78">
            <v>202001082</v>
          </cell>
        </row>
        <row r="79">
          <cell r="C79">
            <v>202001083</v>
          </cell>
        </row>
        <row r="80">
          <cell r="C80">
            <v>202001084</v>
          </cell>
        </row>
        <row r="81">
          <cell r="C81">
            <v>202001085</v>
          </cell>
        </row>
        <row r="82">
          <cell r="C82">
            <v>202001086</v>
          </cell>
        </row>
        <row r="83">
          <cell r="C83">
            <v>202001087</v>
          </cell>
        </row>
        <row r="84">
          <cell r="C84">
            <v>202001088</v>
          </cell>
        </row>
        <row r="85">
          <cell r="C85">
            <v>202001089</v>
          </cell>
        </row>
        <row r="86">
          <cell r="C86">
            <v>202001090</v>
          </cell>
        </row>
        <row r="87">
          <cell r="C87">
            <v>202001091</v>
          </cell>
        </row>
        <row r="88">
          <cell r="C88">
            <v>202001092</v>
          </cell>
        </row>
        <row r="89">
          <cell r="C89">
            <v>202001093</v>
          </cell>
        </row>
        <row r="90">
          <cell r="C90">
            <v>202001094</v>
          </cell>
        </row>
        <row r="91">
          <cell r="C91">
            <v>202001095</v>
          </cell>
        </row>
        <row r="92">
          <cell r="C92">
            <v>202001096</v>
          </cell>
        </row>
        <row r="93">
          <cell r="C93">
            <v>202001097</v>
          </cell>
        </row>
        <row r="94">
          <cell r="C94">
            <v>202001098</v>
          </cell>
        </row>
        <row r="95">
          <cell r="C95">
            <v>202001099</v>
          </cell>
        </row>
        <row r="96">
          <cell r="C96">
            <v>202001100</v>
          </cell>
        </row>
        <row r="97">
          <cell r="C97">
            <v>202001101</v>
          </cell>
        </row>
        <row r="98">
          <cell r="C98">
            <v>202001102</v>
          </cell>
        </row>
        <row r="99">
          <cell r="C99">
            <v>202001103</v>
          </cell>
        </row>
        <row r="100">
          <cell r="C100">
            <v>202001104</v>
          </cell>
        </row>
        <row r="101">
          <cell r="C101">
            <v>202001105</v>
          </cell>
        </row>
        <row r="102">
          <cell r="C102">
            <v>202001106</v>
          </cell>
        </row>
        <row r="103">
          <cell r="C103">
            <v>202001107</v>
          </cell>
        </row>
        <row r="104">
          <cell r="C104">
            <v>202001108</v>
          </cell>
        </row>
        <row r="105">
          <cell r="C105">
            <v>202001109</v>
          </cell>
        </row>
        <row r="106">
          <cell r="C106">
            <v>202001110</v>
          </cell>
        </row>
        <row r="107">
          <cell r="C107">
            <v>202001111</v>
          </cell>
        </row>
        <row r="108">
          <cell r="C108">
            <v>202001112</v>
          </cell>
        </row>
        <row r="109">
          <cell r="C109">
            <v>202001113</v>
          </cell>
        </row>
        <row r="110">
          <cell r="C110">
            <v>202001114</v>
          </cell>
        </row>
        <row r="111">
          <cell r="C111">
            <v>202001115</v>
          </cell>
        </row>
        <row r="112">
          <cell r="C112">
            <v>202001116</v>
          </cell>
        </row>
        <row r="113">
          <cell r="C113">
            <v>202001117</v>
          </cell>
        </row>
        <row r="114">
          <cell r="C114">
            <v>202001118</v>
          </cell>
        </row>
        <row r="115">
          <cell r="C115">
            <v>202001119</v>
          </cell>
        </row>
        <row r="116">
          <cell r="C116">
            <v>202001120</v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RF%20instruction.pd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mona.dorado@brother-biph.com.ph" TargetMode="External"/><Relationship Id="rId2" Type="http://schemas.openxmlformats.org/officeDocument/2006/relationships/hyperlink" Target="mailto:michelle.icaro@brother-biph.com.ph" TargetMode="External"/><Relationship Id="rId1" Type="http://schemas.openxmlformats.org/officeDocument/2006/relationships/hyperlink" Target="mailto:jervy.malapascua@brother-biph.com.ph" TargetMode="External"/><Relationship Id="rId5" Type="http://schemas.openxmlformats.org/officeDocument/2006/relationships/hyperlink" Target="mailto:koji.ojika@brother-biph.com.ph" TargetMode="External"/><Relationship Id="rId4" Type="http://schemas.openxmlformats.org/officeDocument/2006/relationships/hyperlink" Target="mailto:allan.bustos@brother-biph.com.p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D7"/>
  <sheetViews>
    <sheetView showGridLines="0" tabSelected="1" zoomScale="130" zoomScaleNormal="130" workbookViewId="0">
      <selection activeCell="B5" sqref="B5"/>
    </sheetView>
  </sheetViews>
  <sheetFormatPr defaultRowHeight="15"/>
  <cols>
    <col min="2" max="2" width="25.42578125" customWidth="1"/>
  </cols>
  <sheetData>
    <row r="1" spans="1:4">
      <c r="B1" s="328" t="s">
        <v>236</v>
      </c>
    </row>
    <row r="2" spans="1:4" ht="39.75" customHeight="1">
      <c r="B2" s="127" t="s">
        <v>74</v>
      </c>
    </row>
    <row r="4" spans="1:4" ht="21" customHeight="1">
      <c r="B4" s="128" t="s">
        <v>125</v>
      </c>
      <c r="D4" s="329" t="s">
        <v>238</v>
      </c>
    </row>
    <row r="5" spans="1:4" ht="25.5" customHeight="1">
      <c r="A5" s="5"/>
      <c r="B5" s="282"/>
      <c r="D5" s="330" t="s">
        <v>230</v>
      </c>
    </row>
    <row r="6" spans="1:4">
      <c r="D6" s="331" t="s">
        <v>235</v>
      </c>
    </row>
    <row r="7" spans="1:4">
      <c r="D7" s="23" t="s">
        <v>237</v>
      </c>
    </row>
  </sheetData>
  <protectedRanges>
    <protectedRange sqref="B5" name="Range1"/>
  </protectedRanges>
  <customSheetViews>
    <customSheetView guid="{B917A2D9-9544-4879-AB10-D367CD87C30A}" scale="130" showGridLines="0">
      <selection activeCell="B5" sqref="B5"/>
      <pageMargins left="0.7" right="0.7" top="0.75" bottom="0.75" header="0.3" footer="0.3"/>
    </customSheetView>
  </customSheetViews>
  <phoneticPr fontId="39"/>
  <dataValidations count="1">
    <dataValidation type="list" allowBlank="1" showInputMessage="1" showErrorMessage="1" sqref="B5" xr:uid="{00000000-0002-0000-0000-000000000000}">
      <formula1>"DOCUMENT,NON-DOCUMENT"</formula1>
    </dataValidation>
  </dataValidations>
  <hyperlinks>
    <hyperlink ref="D5" r:id="rId1" xr:uid="{4BAC4222-BF5F-47D9-B071-5B12260CFAE9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AR71"/>
  <sheetViews>
    <sheetView showGridLines="0" view="pageBreakPreview" zoomScaleNormal="130" zoomScaleSheetLayoutView="100" zoomScalePageLayoutView="70" workbookViewId="0">
      <selection activeCell="L29" sqref="L29"/>
    </sheetView>
  </sheetViews>
  <sheetFormatPr defaultColWidth="9.140625" defaultRowHeight="12.75"/>
  <cols>
    <col min="1" max="1" width="2.42578125" style="10" customWidth="1"/>
    <col min="2" max="2" width="13.140625" style="15" customWidth="1"/>
    <col min="3" max="3" width="13.28515625" style="15" customWidth="1"/>
    <col min="4" max="4" width="12" style="15" customWidth="1"/>
    <col min="5" max="5" width="10.28515625" style="15" customWidth="1"/>
    <col min="6" max="6" width="10.7109375" style="15" customWidth="1"/>
    <col min="7" max="7" width="10.28515625" style="15" customWidth="1"/>
    <col min="8" max="8" width="5.7109375" style="15" customWidth="1"/>
    <col min="9" max="9" width="18.28515625" style="15" customWidth="1"/>
    <col min="10" max="10" width="14" style="15" customWidth="1"/>
    <col min="11" max="11" width="3.140625" style="15" customWidth="1"/>
    <col min="12" max="12" width="12.7109375" style="15" customWidth="1"/>
    <col min="13" max="13" width="14.28515625" style="15" customWidth="1"/>
    <col min="14" max="14" width="29.7109375" style="15" customWidth="1"/>
    <col min="15" max="15" width="8.5703125" style="15" customWidth="1"/>
    <col min="16" max="16" width="10.42578125" style="15" customWidth="1"/>
    <col min="17" max="17" width="8.7109375" style="15" customWidth="1"/>
    <col min="18" max="18" width="8.28515625" style="15" customWidth="1"/>
    <col min="19" max="19" width="15.7109375" style="15" customWidth="1"/>
    <col min="20" max="20" width="9.28515625" style="296" hidden="1" customWidth="1"/>
    <col min="21" max="21" width="7.85546875" style="290" hidden="1" customWidth="1"/>
    <col min="22" max="22" width="11.28515625" style="290" hidden="1" customWidth="1"/>
    <col min="23" max="23" width="8.42578125" style="290" hidden="1" customWidth="1"/>
    <col min="24" max="24" width="3.85546875" style="290" hidden="1" customWidth="1"/>
    <col min="25" max="25" width="9" style="294" hidden="1" customWidth="1"/>
    <col min="26" max="26" width="9" style="15" customWidth="1"/>
    <col min="27" max="27" width="9.42578125" style="15" customWidth="1"/>
    <col min="28" max="28" width="8" style="15" customWidth="1"/>
    <col min="29" max="33" width="9.140625" style="15" customWidth="1"/>
    <col min="34" max="34" width="9.140625" style="139" customWidth="1"/>
    <col min="35" max="35" width="4.28515625" style="139" customWidth="1"/>
    <col min="36" max="36" width="14.5703125" style="139" customWidth="1"/>
    <col min="37" max="37" width="10.5703125" style="139" customWidth="1"/>
    <col min="38" max="38" width="9.140625" style="139" customWidth="1"/>
    <col min="39" max="39" width="9.140625" style="15" customWidth="1"/>
    <col min="40" max="40" width="1.7109375" style="139" customWidth="1"/>
    <col min="41" max="41" width="14.28515625" style="139" customWidth="1"/>
    <col min="42" max="42" width="6.28515625" style="140" customWidth="1"/>
    <col min="43" max="43" width="3.85546875" style="139" customWidth="1"/>
    <col min="44" max="45" width="9.140625" style="15" customWidth="1"/>
    <col min="46" max="16384" width="9.140625" style="15"/>
  </cols>
  <sheetData>
    <row r="1" spans="1:44" s="174" customFormat="1" ht="15.75" customHeight="1">
      <c r="A1" s="166">
        <v>1</v>
      </c>
      <c r="B1" s="167" t="s">
        <v>34</v>
      </c>
      <c r="C1" s="168"/>
      <c r="D1" s="168"/>
      <c r="E1" s="168"/>
      <c r="F1" s="168"/>
      <c r="G1" s="168"/>
      <c r="H1" s="168"/>
      <c r="I1" s="168"/>
      <c r="J1" s="168"/>
      <c r="K1" s="166">
        <v>9</v>
      </c>
      <c r="L1" s="167" t="s">
        <v>23</v>
      </c>
      <c r="M1" s="168"/>
      <c r="N1" s="321"/>
      <c r="O1" s="168"/>
      <c r="P1" s="168"/>
      <c r="Q1" s="168"/>
      <c r="R1" s="168"/>
      <c r="S1" s="168"/>
      <c r="T1" s="322"/>
      <c r="U1" s="323"/>
      <c r="V1" s="324"/>
      <c r="W1" s="323" t="str">
        <f>$B$34</f>
        <v>_</v>
      </c>
      <c r="X1" s="323">
        <f>IF(W2&gt;1,N3&amp;X2,N3)</f>
        <v>0</v>
      </c>
      <c r="Y1" s="325"/>
      <c r="Z1" s="171"/>
      <c r="AA1" s="171"/>
      <c r="AB1" s="172"/>
      <c r="AH1" s="326"/>
      <c r="AI1" s="327"/>
      <c r="AJ1" s="327"/>
      <c r="AK1" s="173"/>
      <c r="AL1" s="327"/>
      <c r="AN1" s="327"/>
      <c r="AO1" s="327"/>
      <c r="AP1" s="173"/>
      <c r="AQ1" s="327"/>
      <c r="AR1" s="182"/>
    </row>
    <row r="2" spans="1:44">
      <c r="A2" s="219"/>
      <c r="B2" s="11"/>
      <c r="C2" s="304" t="str">
        <f>IFERROR(VLOOKUP(B2,Summary!I1:J5,2,0),"")</f>
        <v/>
      </c>
      <c r="D2" s="12"/>
      <c r="E2" s="12"/>
      <c r="F2" s="12"/>
      <c r="G2" s="12"/>
      <c r="H2" s="12"/>
      <c r="I2" s="12"/>
      <c r="J2" s="12"/>
      <c r="K2" s="13" t="s">
        <v>24</v>
      </c>
      <c r="L2" s="14" t="s">
        <v>29</v>
      </c>
      <c r="M2" s="14" t="s">
        <v>71</v>
      </c>
      <c r="N2" s="14" t="s">
        <v>30</v>
      </c>
      <c r="O2" s="14" t="s">
        <v>25</v>
      </c>
      <c r="P2" s="14" t="s">
        <v>31</v>
      </c>
      <c r="Q2" s="14" t="s">
        <v>32</v>
      </c>
      <c r="R2" s="14" t="s">
        <v>28</v>
      </c>
      <c r="S2" s="14" t="s">
        <v>27</v>
      </c>
      <c r="T2" s="291" t="s">
        <v>140</v>
      </c>
      <c r="V2" s="292"/>
      <c r="W2" s="290">
        <f>COUNTA(N3:N32)</f>
        <v>0</v>
      </c>
      <c r="X2" s="290" t="s">
        <v>33</v>
      </c>
      <c r="AQ2" s="138"/>
      <c r="AR2" s="139"/>
    </row>
    <row r="3" spans="1:44">
      <c r="A3" s="7">
        <v>2</v>
      </c>
      <c r="B3" s="8" t="s">
        <v>54</v>
      </c>
      <c r="C3" s="9"/>
      <c r="D3" s="9"/>
      <c r="E3" s="9"/>
      <c r="F3" s="9"/>
      <c r="G3" s="9"/>
      <c r="H3" s="9"/>
      <c r="I3" s="9"/>
      <c r="J3" s="9"/>
      <c r="K3" s="142">
        <v>1</v>
      </c>
      <c r="L3" s="160"/>
      <c r="M3" s="16"/>
      <c r="N3" s="16"/>
      <c r="O3" s="17"/>
      <c r="P3" s="17"/>
      <c r="Q3" s="18"/>
      <c r="R3" s="17"/>
      <c r="S3" s="17"/>
      <c r="T3" s="293" t="str">
        <f>IF(N3="","",IF(IF(U3&lt;8,"NG","OK")="NG","Incomplete",IF(U3&lt;8,"NG","OK")))</f>
        <v/>
      </c>
      <c r="U3" s="290">
        <f>COUNTA(L3:S3)</f>
        <v>0</v>
      </c>
      <c r="V3" s="290">
        <f>$C$4</f>
        <v>0</v>
      </c>
      <c r="W3" s="290">
        <f>COUNTIF($T$3:$T$32,"ok")</f>
        <v>0</v>
      </c>
      <c r="Y3" s="290">
        <f>+Q3*O3</f>
        <v>0</v>
      </c>
      <c r="AR3" s="139"/>
    </row>
    <row r="4" spans="1:44">
      <c r="A4" s="219"/>
      <c r="B4" s="164" t="s">
        <v>1</v>
      </c>
      <c r="C4" s="185"/>
      <c r="D4" s="12"/>
      <c r="E4" s="12"/>
      <c r="F4" s="221"/>
      <c r="G4" s="222" t="s">
        <v>18</v>
      </c>
      <c r="H4" s="356"/>
      <c r="I4" s="357"/>
      <c r="J4" s="223"/>
      <c r="K4" s="142">
        <v>2</v>
      </c>
      <c r="L4" s="16"/>
      <c r="M4" s="16"/>
      <c r="N4" s="16"/>
      <c r="O4" s="17"/>
      <c r="P4" s="17"/>
      <c r="Q4" s="18"/>
      <c r="R4" s="17"/>
      <c r="S4" s="17"/>
      <c r="T4" s="293" t="str">
        <f>IF(N4="","",IF(IF(U4&lt;8,"NG","OK")="NG","Incomplete",IF(U4&lt;8,"NG","OK")))</f>
        <v/>
      </c>
      <c r="U4" s="290">
        <f>COUNTA(L4:S4)</f>
        <v>0</v>
      </c>
      <c r="V4" s="290" t="str">
        <f>$V$3&amp;$H$4</f>
        <v>0</v>
      </c>
      <c r="W4" s="295" t="str">
        <f>IF(W2=W3,"OK","NG")</f>
        <v>OK</v>
      </c>
      <c r="Y4" s="290">
        <f t="shared" ref="Y4:Y32" si="0">+Q4*O4</f>
        <v>0</v>
      </c>
    </row>
    <row r="5" spans="1:44" ht="21.75" customHeight="1">
      <c r="A5" s="219"/>
      <c r="B5" s="164" t="s">
        <v>53</v>
      </c>
      <c r="C5" s="185"/>
      <c r="D5" s="370" t="str">
        <f>IFERROR(VLOOKUP(C5,Summary!A1:E4,2,0),"")</f>
        <v/>
      </c>
      <c r="E5" s="371"/>
      <c r="F5" s="371"/>
      <c r="G5" s="371"/>
      <c r="H5" s="306" t="str">
        <f>IF(OR($V$4="RECEIVER359 954 794",$V$4="RECEIVER642 289 568",$V$4="3RD PARTY359 954 794",$V$4="3RD PARTY642 289 568"),"Please input correct account number.","")</f>
        <v/>
      </c>
      <c r="I5" s="306"/>
      <c r="J5" s="12"/>
      <c r="K5" s="312">
        <v>3</v>
      </c>
      <c r="L5" s="313"/>
      <c r="M5" s="313"/>
      <c r="N5" s="313"/>
      <c r="O5" s="314"/>
      <c r="P5" s="17"/>
      <c r="Q5" s="315"/>
      <c r="R5" s="17"/>
      <c r="S5" s="314"/>
      <c r="T5" s="293" t="str">
        <f t="shared" ref="T5:T32" si="1">IF(N5="","",IF(IF(U5&lt;8,"NG","OK")="NG","Incomplete",IF(U5&lt;8,"NG","OK")))</f>
        <v/>
      </c>
      <c r="U5" s="290">
        <f t="shared" ref="U5:U32" si="2">COUNTA(L5:S5)</f>
        <v>0</v>
      </c>
      <c r="Y5" s="290">
        <f t="shared" si="0"/>
        <v>0</v>
      </c>
    </row>
    <row r="6" spans="1:44">
      <c r="A6" s="7">
        <v>3</v>
      </c>
      <c r="B6" s="8" t="s">
        <v>36</v>
      </c>
      <c r="C6" s="19"/>
      <c r="D6" s="19"/>
      <c r="E6" s="19"/>
      <c r="F6" s="19"/>
      <c r="G6" s="19"/>
      <c r="H6" s="19"/>
      <c r="I6" s="19"/>
      <c r="J6" s="19"/>
      <c r="K6" s="142">
        <v>4</v>
      </c>
      <c r="L6" s="16"/>
      <c r="M6" s="16"/>
      <c r="N6" s="16"/>
      <c r="O6" s="17"/>
      <c r="P6" s="17"/>
      <c r="Q6" s="18"/>
      <c r="R6" s="17"/>
      <c r="S6" s="17"/>
      <c r="T6" s="293" t="str">
        <f t="shared" si="1"/>
        <v/>
      </c>
      <c r="U6" s="290">
        <f t="shared" si="2"/>
        <v>0</v>
      </c>
      <c r="Y6" s="290">
        <f t="shared" si="0"/>
        <v>0</v>
      </c>
    </row>
    <row r="7" spans="1:44">
      <c r="A7" s="219"/>
      <c r="B7" s="225" t="s">
        <v>2</v>
      </c>
      <c r="C7" s="12"/>
      <c r="D7" s="12"/>
      <c r="E7" s="12"/>
      <c r="F7" s="12"/>
      <c r="G7" s="12"/>
      <c r="H7" s="225" t="s">
        <v>5</v>
      </c>
      <c r="I7" s="12"/>
      <c r="J7" s="12"/>
      <c r="K7" s="142">
        <v>5</v>
      </c>
      <c r="L7" s="16"/>
      <c r="M7" s="16"/>
      <c r="N7" s="16"/>
      <c r="O7" s="17"/>
      <c r="P7" s="17"/>
      <c r="Q7" s="18"/>
      <c r="R7" s="17"/>
      <c r="S7" s="17"/>
      <c r="T7" s="293" t="str">
        <f t="shared" si="1"/>
        <v/>
      </c>
      <c r="U7" s="290">
        <f t="shared" si="2"/>
        <v>0</v>
      </c>
      <c r="Y7" s="290">
        <f t="shared" si="0"/>
        <v>0</v>
      </c>
    </row>
    <row r="8" spans="1:44" ht="15.75" customHeight="1">
      <c r="A8" s="219"/>
      <c r="B8" s="355"/>
      <c r="C8" s="355"/>
      <c r="D8" s="355"/>
      <c r="E8" s="355"/>
      <c r="F8" s="355"/>
      <c r="G8" s="12"/>
      <c r="H8" s="355"/>
      <c r="I8" s="355"/>
      <c r="J8" s="226"/>
      <c r="K8" s="142">
        <v>6</v>
      </c>
      <c r="L8" s="16"/>
      <c r="M8" s="16"/>
      <c r="N8" s="16"/>
      <c r="O8" s="17"/>
      <c r="P8" s="17"/>
      <c r="Q8" s="18"/>
      <c r="R8" s="17"/>
      <c r="S8" s="17"/>
      <c r="T8" s="293" t="str">
        <f t="shared" si="1"/>
        <v/>
      </c>
      <c r="U8" s="290">
        <f t="shared" si="2"/>
        <v>0</v>
      </c>
      <c r="Y8" s="290">
        <f t="shared" si="0"/>
        <v>0</v>
      </c>
      <c r="AB8" s="158"/>
    </row>
    <row r="9" spans="1:44">
      <c r="A9" s="219"/>
      <c r="B9" s="225" t="s">
        <v>3</v>
      </c>
      <c r="C9" s="12"/>
      <c r="D9" s="12"/>
      <c r="E9" s="12"/>
      <c r="F9" s="12"/>
      <c r="G9" s="12"/>
      <c r="H9" s="225" t="s">
        <v>6</v>
      </c>
      <c r="I9" s="12"/>
      <c r="J9" s="12"/>
      <c r="K9" s="142">
        <v>7</v>
      </c>
      <c r="L9" s="16"/>
      <c r="M9" s="16"/>
      <c r="N9" s="16"/>
      <c r="O9" s="17"/>
      <c r="P9" s="17"/>
      <c r="Q9" s="18"/>
      <c r="R9" s="17"/>
      <c r="S9" s="17"/>
      <c r="T9" s="293" t="str">
        <f t="shared" si="1"/>
        <v/>
      </c>
      <c r="U9" s="290">
        <f t="shared" si="2"/>
        <v>0</v>
      </c>
      <c r="Y9" s="290">
        <f t="shared" si="0"/>
        <v>0</v>
      </c>
    </row>
    <row r="10" spans="1:44" ht="17.25" customHeight="1">
      <c r="A10" s="219"/>
      <c r="B10" s="355"/>
      <c r="C10" s="355"/>
      <c r="D10" s="355"/>
      <c r="E10" s="355"/>
      <c r="F10" s="355"/>
      <c r="G10" s="12"/>
      <c r="H10" s="358"/>
      <c r="I10" s="358"/>
      <c r="J10" s="226"/>
      <c r="K10" s="142">
        <v>8</v>
      </c>
      <c r="L10" s="16"/>
      <c r="M10" s="16"/>
      <c r="N10" s="16"/>
      <c r="O10" s="17"/>
      <c r="P10" s="17"/>
      <c r="Q10" s="18"/>
      <c r="R10" s="17"/>
      <c r="S10" s="17"/>
      <c r="T10" s="293" t="str">
        <f t="shared" si="1"/>
        <v/>
      </c>
      <c r="U10" s="290">
        <f t="shared" si="2"/>
        <v>0</v>
      </c>
      <c r="Y10" s="290">
        <f t="shared" si="0"/>
        <v>0</v>
      </c>
    </row>
    <row r="11" spans="1:44">
      <c r="A11" s="219"/>
      <c r="B11" s="225" t="s">
        <v>4</v>
      </c>
      <c r="C11" s="12"/>
      <c r="D11" s="12"/>
      <c r="E11" s="12"/>
      <c r="F11" s="12"/>
      <c r="G11" s="12"/>
      <c r="H11" s="225" t="s">
        <v>7</v>
      </c>
      <c r="I11" s="12"/>
      <c r="J11" s="12"/>
      <c r="K11" s="142">
        <v>9</v>
      </c>
      <c r="L11" s="16"/>
      <c r="M11" s="16"/>
      <c r="N11" s="16"/>
      <c r="O11" s="17"/>
      <c r="P11" s="17"/>
      <c r="Q11" s="18"/>
      <c r="R11" s="17"/>
      <c r="S11" s="17"/>
      <c r="T11" s="293" t="str">
        <f>IF(N11="","",IF(IF(U11&lt;8,"NG","OK")="NG","Incomplete",IF(U11&lt;8,"NG","OK")))</f>
        <v/>
      </c>
      <c r="U11" s="290">
        <f t="shared" si="2"/>
        <v>0</v>
      </c>
      <c r="Y11" s="290">
        <f t="shared" si="0"/>
        <v>0</v>
      </c>
    </row>
    <row r="12" spans="1:44" ht="15" customHeight="1">
      <c r="A12" s="219"/>
      <c r="B12" s="355"/>
      <c r="C12" s="355"/>
      <c r="D12" s="355"/>
      <c r="E12" s="355"/>
      <c r="F12" s="355"/>
      <c r="G12" s="12"/>
      <c r="H12" s="358"/>
      <c r="I12" s="358"/>
      <c r="J12" s="226"/>
      <c r="K12" s="142">
        <v>10</v>
      </c>
      <c r="L12" s="16"/>
      <c r="M12" s="16"/>
      <c r="N12" s="16"/>
      <c r="O12" s="17"/>
      <c r="P12" s="17"/>
      <c r="Q12" s="18"/>
      <c r="R12" s="17"/>
      <c r="S12" s="17"/>
      <c r="T12" s="293" t="str">
        <f t="shared" si="1"/>
        <v/>
      </c>
      <c r="U12" s="290">
        <f t="shared" si="2"/>
        <v>0</v>
      </c>
      <c r="Y12" s="290">
        <f t="shared" si="0"/>
        <v>0</v>
      </c>
    </row>
    <row r="13" spans="1:44" ht="15" customHeight="1">
      <c r="A13" s="219"/>
      <c r="B13" s="355"/>
      <c r="C13" s="355"/>
      <c r="D13" s="355"/>
      <c r="E13" s="355"/>
      <c r="F13" s="355"/>
      <c r="G13" s="12"/>
      <c r="H13" s="225" t="s">
        <v>8</v>
      </c>
      <c r="I13" s="12"/>
      <c r="J13" s="12"/>
      <c r="K13" s="142">
        <v>11</v>
      </c>
      <c r="L13" s="16"/>
      <c r="M13" s="16"/>
      <c r="N13" s="16"/>
      <c r="O13" s="17"/>
      <c r="P13" s="17"/>
      <c r="Q13" s="18"/>
      <c r="R13" s="17"/>
      <c r="S13" s="17"/>
      <c r="T13" s="293" t="str">
        <f t="shared" si="1"/>
        <v/>
      </c>
      <c r="U13" s="290">
        <f t="shared" si="2"/>
        <v>0</v>
      </c>
      <c r="Y13" s="290">
        <f t="shared" si="0"/>
        <v>0</v>
      </c>
    </row>
    <row r="14" spans="1:44" ht="15" customHeight="1">
      <c r="A14" s="219"/>
      <c r="B14" s="355"/>
      <c r="C14" s="355"/>
      <c r="D14" s="355"/>
      <c r="E14" s="355"/>
      <c r="F14" s="355"/>
      <c r="G14" s="12"/>
      <c r="H14" s="358"/>
      <c r="I14" s="358"/>
      <c r="J14" s="226"/>
      <c r="K14" s="142">
        <v>12</v>
      </c>
      <c r="L14" s="16"/>
      <c r="M14" s="16"/>
      <c r="N14" s="16"/>
      <c r="O14" s="17"/>
      <c r="P14" s="17"/>
      <c r="Q14" s="18"/>
      <c r="R14" s="17"/>
      <c r="S14" s="17"/>
      <c r="T14" s="293" t="str">
        <f t="shared" si="1"/>
        <v/>
      </c>
      <c r="U14" s="290">
        <f t="shared" si="2"/>
        <v>0</v>
      </c>
      <c r="V14" s="296"/>
      <c r="Y14" s="290">
        <f t="shared" si="0"/>
        <v>0</v>
      </c>
    </row>
    <row r="15" spans="1:44">
      <c r="A15" s="7">
        <v>4</v>
      </c>
      <c r="B15" s="8" t="s">
        <v>35</v>
      </c>
      <c r="C15" s="19"/>
      <c r="D15" s="19"/>
      <c r="E15" s="19"/>
      <c r="F15" s="19"/>
      <c r="G15" s="19"/>
      <c r="H15" s="19"/>
      <c r="I15" s="19"/>
      <c r="J15" s="19"/>
      <c r="K15" s="142">
        <v>13</v>
      </c>
      <c r="L15" s="16"/>
      <c r="M15" s="16"/>
      <c r="N15" s="16"/>
      <c r="O15" s="17"/>
      <c r="P15" s="17"/>
      <c r="Q15" s="18"/>
      <c r="R15" s="17"/>
      <c r="S15" s="17"/>
      <c r="T15" s="293" t="str">
        <f t="shared" si="1"/>
        <v/>
      </c>
      <c r="U15" s="290">
        <f t="shared" si="2"/>
        <v>0</v>
      </c>
      <c r="Y15" s="290">
        <f t="shared" si="0"/>
        <v>0</v>
      </c>
    </row>
    <row r="16" spans="1:44">
      <c r="A16" s="225"/>
      <c r="B16" s="225" t="s">
        <v>2</v>
      </c>
      <c r="C16" s="12"/>
      <c r="D16" s="12"/>
      <c r="E16" s="12"/>
      <c r="F16" s="12"/>
      <c r="G16" s="12"/>
      <c r="H16" s="225" t="s">
        <v>5</v>
      </c>
      <c r="I16" s="12"/>
      <c r="J16" s="12"/>
      <c r="K16" s="142">
        <v>14</v>
      </c>
      <c r="L16" s="16"/>
      <c r="M16" s="16"/>
      <c r="N16" s="16"/>
      <c r="O16" s="17"/>
      <c r="P16" s="17"/>
      <c r="Q16" s="18"/>
      <c r="R16" s="17"/>
      <c r="S16" s="17"/>
      <c r="T16" s="293" t="str">
        <f t="shared" si="1"/>
        <v/>
      </c>
      <c r="U16" s="290">
        <f t="shared" si="2"/>
        <v>0</v>
      </c>
      <c r="Y16" s="290">
        <f t="shared" si="0"/>
        <v>0</v>
      </c>
    </row>
    <row r="17" spans="1:25" ht="16.5" customHeight="1">
      <c r="A17" s="225"/>
      <c r="B17" s="355"/>
      <c r="C17" s="355"/>
      <c r="D17" s="355"/>
      <c r="E17" s="355"/>
      <c r="F17" s="355"/>
      <c r="G17" s="12"/>
      <c r="H17" s="355"/>
      <c r="I17" s="355"/>
      <c r="J17" s="12"/>
      <c r="K17" s="142">
        <v>15</v>
      </c>
      <c r="L17" s="16"/>
      <c r="M17" s="16"/>
      <c r="N17" s="16"/>
      <c r="O17" s="17"/>
      <c r="P17" s="17"/>
      <c r="Q17" s="18"/>
      <c r="R17" s="17"/>
      <c r="S17" s="17"/>
      <c r="T17" s="293" t="str">
        <f t="shared" si="1"/>
        <v/>
      </c>
      <c r="U17" s="290">
        <f t="shared" si="2"/>
        <v>0</v>
      </c>
      <c r="Y17" s="290">
        <f t="shared" si="0"/>
        <v>0</v>
      </c>
    </row>
    <row r="18" spans="1:25">
      <c r="A18" s="225"/>
      <c r="B18" s="225" t="s">
        <v>3</v>
      </c>
      <c r="C18" s="12"/>
      <c r="D18" s="12"/>
      <c r="E18" s="12"/>
      <c r="F18" s="12"/>
      <c r="G18" s="12"/>
      <c r="H18" s="225" t="s">
        <v>6</v>
      </c>
      <c r="I18" s="12"/>
      <c r="J18" s="12"/>
      <c r="K18" s="12"/>
      <c r="L18" s="226"/>
      <c r="M18" s="226"/>
      <c r="N18" s="226"/>
      <c r="O18" s="223"/>
      <c r="P18" s="223"/>
      <c r="Q18" s="335"/>
      <c r="R18" s="223"/>
      <c r="S18" s="223"/>
      <c r="T18" s="293" t="str">
        <f t="shared" si="1"/>
        <v/>
      </c>
      <c r="U18" s="290">
        <f t="shared" si="2"/>
        <v>0</v>
      </c>
      <c r="V18" s="296"/>
      <c r="Y18" s="290">
        <f t="shared" si="0"/>
        <v>0</v>
      </c>
    </row>
    <row r="19" spans="1:25" ht="16.5" customHeight="1">
      <c r="A19" s="225"/>
      <c r="B19" s="355"/>
      <c r="C19" s="355"/>
      <c r="D19" s="355"/>
      <c r="E19" s="355"/>
      <c r="F19" s="355"/>
      <c r="G19" s="12"/>
      <c r="H19" s="355"/>
      <c r="I19" s="355"/>
      <c r="J19" s="12"/>
      <c r="K19" s="12"/>
      <c r="L19" s="226"/>
      <c r="M19" s="226"/>
      <c r="N19" s="226"/>
      <c r="O19" s="223"/>
      <c r="P19" s="223"/>
      <c r="Q19" s="335"/>
      <c r="R19" s="223"/>
      <c r="S19" s="223"/>
      <c r="T19" s="293" t="str">
        <f t="shared" si="1"/>
        <v/>
      </c>
      <c r="U19" s="290">
        <f t="shared" si="2"/>
        <v>0</v>
      </c>
      <c r="Y19" s="290">
        <f t="shared" si="0"/>
        <v>0</v>
      </c>
    </row>
    <row r="20" spans="1:25">
      <c r="A20" s="225"/>
      <c r="B20" s="225" t="s">
        <v>4</v>
      </c>
      <c r="C20" s="12"/>
      <c r="D20" s="12"/>
      <c r="E20" s="12"/>
      <c r="F20" s="12"/>
      <c r="G20" s="12"/>
      <c r="H20" s="225" t="s">
        <v>7</v>
      </c>
      <c r="I20" s="12"/>
      <c r="J20" s="12"/>
      <c r="K20" s="12"/>
      <c r="L20" s="226"/>
      <c r="M20" s="226"/>
      <c r="N20" s="226"/>
      <c r="O20" s="223"/>
      <c r="P20" s="223"/>
      <c r="Q20" s="335"/>
      <c r="R20" s="223"/>
      <c r="S20" s="223"/>
      <c r="T20" s="293" t="str">
        <f t="shared" si="1"/>
        <v/>
      </c>
      <c r="U20" s="290">
        <f t="shared" si="2"/>
        <v>0</v>
      </c>
      <c r="Y20" s="290">
        <f t="shared" si="0"/>
        <v>0</v>
      </c>
    </row>
    <row r="21" spans="1:25" ht="16.5" customHeight="1">
      <c r="A21" s="225"/>
      <c r="B21" s="355"/>
      <c r="C21" s="355"/>
      <c r="D21" s="355"/>
      <c r="E21" s="355"/>
      <c r="F21" s="355"/>
      <c r="G21" s="12"/>
      <c r="H21" s="355"/>
      <c r="I21" s="355"/>
      <c r="J21" s="12"/>
      <c r="K21" s="12"/>
      <c r="L21" s="226"/>
      <c r="M21" s="226"/>
      <c r="N21" s="226"/>
      <c r="O21" s="223"/>
      <c r="P21" s="223"/>
      <c r="Q21" s="335"/>
      <c r="R21" s="223"/>
      <c r="S21" s="223"/>
      <c r="T21" s="293" t="str">
        <f t="shared" si="1"/>
        <v/>
      </c>
      <c r="U21" s="290">
        <f t="shared" si="2"/>
        <v>0</v>
      </c>
      <c r="Y21" s="290">
        <f t="shared" si="0"/>
        <v>0</v>
      </c>
    </row>
    <row r="22" spans="1:25" ht="16.5" customHeight="1">
      <c r="A22" s="225"/>
      <c r="B22" s="355"/>
      <c r="C22" s="355"/>
      <c r="D22" s="355"/>
      <c r="E22" s="355"/>
      <c r="F22" s="355"/>
      <c r="G22" s="12"/>
      <c r="H22" s="225" t="s">
        <v>8</v>
      </c>
      <c r="I22" s="12"/>
      <c r="J22" s="12"/>
      <c r="K22" s="12"/>
      <c r="L22" s="226"/>
      <c r="M22" s="226"/>
      <c r="N22" s="226"/>
      <c r="O22" s="223"/>
      <c r="P22" s="223"/>
      <c r="Q22" s="335"/>
      <c r="R22" s="223"/>
      <c r="S22" s="223"/>
      <c r="T22" s="293" t="str">
        <f t="shared" si="1"/>
        <v/>
      </c>
      <c r="U22" s="290">
        <f t="shared" si="2"/>
        <v>0</v>
      </c>
      <c r="Y22" s="290">
        <f t="shared" si="0"/>
        <v>0</v>
      </c>
    </row>
    <row r="23" spans="1:25" ht="16.5" customHeight="1">
      <c r="A23" s="225"/>
      <c r="B23" s="355"/>
      <c r="C23" s="355"/>
      <c r="D23" s="355"/>
      <c r="E23" s="355"/>
      <c r="F23" s="355"/>
      <c r="G23" s="12"/>
      <c r="H23" s="355"/>
      <c r="I23" s="355"/>
      <c r="J23" s="12"/>
      <c r="K23" s="12"/>
      <c r="L23" s="226"/>
      <c r="M23" s="226"/>
      <c r="N23" s="226"/>
      <c r="O23" s="223"/>
      <c r="P23" s="223"/>
      <c r="Q23" s="335"/>
      <c r="R23" s="223"/>
      <c r="S23" s="223"/>
      <c r="T23" s="293" t="str">
        <f t="shared" si="1"/>
        <v/>
      </c>
      <c r="U23" s="290">
        <f t="shared" si="2"/>
        <v>0</v>
      </c>
      <c r="Y23" s="290">
        <f t="shared" si="0"/>
        <v>0</v>
      </c>
    </row>
    <row r="24" spans="1:25">
      <c r="A24" s="7">
        <v>5</v>
      </c>
      <c r="B24" s="8" t="s">
        <v>72</v>
      </c>
      <c r="C24" s="19"/>
      <c r="D24" s="19"/>
      <c r="E24" s="19"/>
      <c r="F24" s="19"/>
      <c r="G24" s="19"/>
      <c r="H24" s="19"/>
      <c r="I24" s="19"/>
      <c r="J24" s="19"/>
      <c r="K24" s="12"/>
      <c r="L24" s="226"/>
      <c r="M24" s="226"/>
      <c r="N24" s="226"/>
      <c r="O24" s="223"/>
      <c r="P24" s="223"/>
      <c r="Q24" s="335"/>
      <c r="R24" s="223"/>
      <c r="S24" s="223"/>
      <c r="T24" s="293" t="str">
        <f t="shared" si="1"/>
        <v/>
      </c>
      <c r="U24" s="290">
        <f t="shared" si="2"/>
        <v>0</v>
      </c>
      <c r="Y24" s="290">
        <f t="shared" si="0"/>
        <v>0</v>
      </c>
    </row>
    <row r="25" spans="1:25">
      <c r="A25" s="218"/>
      <c r="B25" s="227"/>
      <c r="C25" s="218" t="s">
        <v>15</v>
      </c>
      <c r="D25" s="227"/>
      <c r="E25" s="218" t="s">
        <v>12</v>
      </c>
      <c r="F25" s="227"/>
      <c r="G25" s="227"/>
      <c r="H25" s="227"/>
      <c r="I25" s="227"/>
      <c r="J25" s="227"/>
      <c r="K25" s="12"/>
      <c r="L25" s="226"/>
      <c r="M25" s="226"/>
      <c r="N25" s="226"/>
      <c r="O25" s="223"/>
      <c r="P25" s="223"/>
      <c r="Q25" s="335"/>
      <c r="R25" s="223"/>
      <c r="S25" s="223"/>
      <c r="T25" s="293" t="str">
        <f t="shared" si="1"/>
        <v/>
      </c>
      <c r="U25" s="290">
        <f t="shared" si="2"/>
        <v>0</v>
      </c>
      <c r="Y25" s="290">
        <f t="shared" si="0"/>
        <v>0</v>
      </c>
    </row>
    <row r="26" spans="1:25">
      <c r="A26" s="219"/>
      <c r="B26" s="26" t="s">
        <v>9</v>
      </c>
      <c r="C26" s="27" t="s">
        <v>10</v>
      </c>
      <c r="D26" s="27" t="s">
        <v>11</v>
      </c>
      <c r="E26" s="28" t="s">
        <v>13</v>
      </c>
      <c r="F26" s="29" t="s">
        <v>14</v>
      </c>
      <c r="G26" s="12"/>
      <c r="H26" s="12"/>
      <c r="I26" s="222" t="s">
        <v>19</v>
      </c>
      <c r="J26" s="228">
        <f>SUM($B$27:$B$31)</f>
        <v>0</v>
      </c>
      <c r="K26" s="12"/>
      <c r="L26" s="226"/>
      <c r="M26" s="226"/>
      <c r="N26" s="226"/>
      <c r="O26" s="223"/>
      <c r="P26" s="223"/>
      <c r="Q26" s="223"/>
      <c r="R26" s="223"/>
      <c r="S26" s="223"/>
      <c r="T26" s="293" t="str">
        <f t="shared" si="1"/>
        <v/>
      </c>
      <c r="U26" s="290">
        <f t="shared" si="2"/>
        <v>0</v>
      </c>
      <c r="V26" s="290" t="s">
        <v>196</v>
      </c>
      <c r="Y26" s="290">
        <f t="shared" si="0"/>
        <v>0</v>
      </c>
    </row>
    <row r="27" spans="1:25" ht="15" customHeight="1">
      <c r="A27" s="219"/>
      <c r="B27" s="11"/>
      <c r="C27" s="229"/>
      <c r="D27" s="229"/>
      <c r="E27" s="229"/>
      <c r="F27" s="229"/>
      <c r="G27" s="230">
        <f>D27*E27*F27/1000000*B27</f>
        <v>0</v>
      </c>
      <c r="H27" s="12"/>
      <c r="I27" s="231" t="s">
        <v>123</v>
      </c>
      <c r="J27" s="228">
        <f>SUM($O$3:$O$32)</f>
        <v>0</v>
      </c>
      <c r="K27" s="12"/>
      <c r="L27" s="226"/>
      <c r="M27" s="226"/>
      <c r="N27" s="226"/>
      <c r="O27" s="223"/>
      <c r="P27" s="223"/>
      <c r="Q27" s="223"/>
      <c r="R27" s="223"/>
      <c r="S27" s="223"/>
      <c r="T27" s="293" t="str">
        <f t="shared" si="1"/>
        <v/>
      </c>
      <c r="U27" s="290">
        <f t="shared" si="2"/>
        <v>0</v>
      </c>
      <c r="V27" s="290" t="str">
        <f>IF(B27="","",IF(IF(W27&lt;5,"NG","OK")="NG","Incomplete",IF(W27&lt;5,"NG","OK")))</f>
        <v/>
      </c>
      <c r="W27" s="295">
        <f>COUNTA(B27:F27)</f>
        <v>0</v>
      </c>
      <c r="X27" s="295">
        <f>COUNTA($B$27:$B$31)</f>
        <v>0</v>
      </c>
      <c r="Y27" s="290">
        <f t="shared" si="0"/>
        <v>0</v>
      </c>
    </row>
    <row r="28" spans="1:25" ht="15" customHeight="1">
      <c r="A28" s="219"/>
      <c r="B28" s="11"/>
      <c r="C28" s="229"/>
      <c r="D28" s="229"/>
      <c r="E28" s="229"/>
      <c r="F28" s="229"/>
      <c r="G28" s="230">
        <f t="shared" ref="G28:G31" si="3">D28*E28*F28/1000000*B28</f>
        <v>0</v>
      </c>
      <c r="H28" s="12"/>
      <c r="I28" s="222" t="s">
        <v>20</v>
      </c>
      <c r="J28" s="232">
        <f>SUM($C$27:$C$31)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293" t="str">
        <f t="shared" si="1"/>
        <v/>
      </c>
      <c r="U28" s="290">
        <f t="shared" si="2"/>
        <v>0</v>
      </c>
      <c r="V28" s="297" t="str">
        <f>IF(B28="","",IF(IF(W28&lt;5,"NG","OK")="NG","Incomplete",IF(W28&lt;5,"NG","OK")))</f>
        <v/>
      </c>
      <c r="W28" s="295">
        <f>COUNTA(B28:F28)</f>
        <v>0</v>
      </c>
      <c r="X28" s="295">
        <f>COUNTIF($V$27:$V$31,"ok")</f>
        <v>0</v>
      </c>
      <c r="Y28" s="290">
        <f t="shared" si="0"/>
        <v>0</v>
      </c>
    </row>
    <row r="29" spans="1:25" ht="15" customHeight="1">
      <c r="A29" s="219"/>
      <c r="B29" s="11"/>
      <c r="C29" s="229"/>
      <c r="D29" s="229"/>
      <c r="E29" s="229"/>
      <c r="F29" s="229"/>
      <c r="G29" s="230">
        <f t="shared" si="3"/>
        <v>0</v>
      </c>
      <c r="H29" s="12"/>
      <c r="I29" s="222" t="s">
        <v>16</v>
      </c>
      <c r="J29" s="233">
        <f>SUM(G27:G31)</f>
        <v>0</v>
      </c>
      <c r="K29" s="12"/>
      <c r="L29" s="12"/>
      <c r="M29" s="12"/>
      <c r="N29" s="12"/>
      <c r="O29" s="12"/>
      <c r="P29" s="12"/>
      <c r="Q29" s="234"/>
      <c r="R29" s="12"/>
      <c r="S29" s="12"/>
      <c r="T29" s="293" t="str">
        <f t="shared" si="1"/>
        <v/>
      </c>
      <c r="U29" s="290">
        <f t="shared" si="2"/>
        <v>0</v>
      </c>
      <c r="V29" s="297" t="str">
        <f>IF(B29="","",IF(IF(W29&lt;5,"NG","OK")="NG","Incomplete",IF(W29&lt;5,"NG","OK")))</f>
        <v/>
      </c>
      <c r="W29" s="295">
        <f t="shared" ref="W29:W30" si="4">COUNTA(B29:F29)</f>
        <v>0</v>
      </c>
      <c r="X29" s="295" t="str">
        <f>IF(X27=X28,"OK","NG")</f>
        <v>OK</v>
      </c>
      <c r="Y29" s="290">
        <f t="shared" si="0"/>
        <v>0</v>
      </c>
    </row>
    <row r="30" spans="1:25" ht="15" customHeight="1">
      <c r="A30" s="219"/>
      <c r="B30" s="11"/>
      <c r="C30" s="229"/>
      <c r="D30" s="229"/>
      <c r="E30" s="229"/>
      <c r="F30" s="229"/>
      <c r="G30" s="230">
        <f t="shared" si="3"/>
        <v>0</v>
      </c>
      <c r="H30" s="12"/>
      <c r="I30" s="220"/>
      <c r="J30" s="220"/>
      <c r="K30" s="12"/>
      <c r="L30" s="12"/>
      <c r="M30" s="12"/>
      <c r="N30" s="12"/>
      <c r="O30" s="12"/>
      <c r="P30" s="12"/>
      <c r="Q30" s="234"/>
      <c r="R30" s="12"/>
      <c r="S30" s="12"/>
      <c r="T30" s="293" t="str">
        <f t="shared" si="1"/>
        <v/>
      </c>
      <c r="U30" s="290">
        <f t="shared" si="2"/>
        <v>0</v>
      </c>
      <c r="V30" s="297" t="str">
        <f>IF(B30="","",IF(IF(W30&lt;5,"NG","OK")="NG","Incomplete",IF(W30&lt;5,"NG","OK")))</f>
        <v/>
      </c>
      <c r="W30" s="295">
        <f t="shared" si="4"/>
        <v>0</v>
      </c>
      <c r="X30" s="295"/>
      <c r="Y30" s="290">
        <f t="shared" si="0"/>
        <v>0</v>
      </c>
    </row>
    <row r="31" spans="1:25" ht="15" customHeight="1">
      <c r="A31" s="219"/>
      <c r="B31" s="11"/>
      <c r="C31" s="229"/>
      <c r="D31" s="229"/>
      <c r="E31" s="229"/>
      <c r="F31" s="229"/>
      <c r="G31" s="230">
        <f t="shared" si="3"/>
        <v>0</v>
      </c>
      <c r="H31" s="12"/>
      <c r="I31" s="222" t="s">
        <v>21</v>
      </c>
      <c r="J31" s="163"/>
      <c r="K31" s="12"/>
      <c r="L31" s="12"/>
      <c r="M31" s="12"/>
      <c r="N31" s="12"/>
      <c r="O31" s="12"/>
      <c r="P31" s="12"/>
      <c r="Q31" s="234"/>
      <c r="R31" s="12"/>
      <c r="S31" s="12"/>
      <c r="T31" s="293" t="str">
        <f t="shared" si="1"/>
        <v/>
      </c>
      <c r="U31" s="290">
        <f t="shared" si="2"/>
        <v>0</v>
      </c>
      <c r="V31" s="297" t="str">
        <f>IF(B31="","",IF(IF(W31&lt;5,"NG","OK")="NG","Incomplete",IF(W31&lt;5,"NG","OK")))</f>
        <v/>
      </c>
      <c r="W31" s="295">
        <f>COUNTA(B31:F31)</f>
        <v>0</v>
      </c>
      <c r="X31" s="295"/>
      <c r="Y31" s="290">
        <f t="shared" si="0"/>
        <v>0</v>
      </c>
    </row>
    <row r="32" spans="1:25">
      <c r="A32" s="219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234"/>
      <c r="R32" s="12"/>
      <c r="S32" s="12"/>
      <c r="T32" s="293" t="str">
        <f t="shared" si="1"/>
        <v/>
      </c>
      <c r="U32" s="290">
        <f t="shared" si="2"/>
        <v>0</v>
      </c>
      <c r="V32" s="290" t="str">
        <f t="shared" ref="V32:V36" si="5">IF(N32="","",IF(IF(W32&lt;5,"NG","OK")="NG","Incomplete",IF(W32&lt;5,"NG","OK")))</f>
        <v/>
      </c>
      <c r="Y32" s="290">
        <f t="shared" si="0"/>
        <v>0</v>
      </c>
    </row>
    <row r="33" spans="1:22">
      <c r="A33" s="7">
        <v>6</v>
      </c>
      <c r="B33" s="20" t="s">
        <v>17</v>
      </c>
      <c r="C33" s="21"/>
      <c r="D33" s="21"/>
      <c r="E33" s="21"/>
      <c r="F33" s="21"/>
      <c r="G33" s="21"/>
      <c r="H33" s="21"/>
      <c r="I33" s="21"/>
      <c r="J33" s="21"/>
      <c r="K33" s="12"/>
      <c r="L33" s="12"/>
      <c r="M33" s="12"/>
      <c r="N33" s="12"/>
      <c r="O33" s="12"/>
      <c r="P33" s="12"/>
      <c r="Q33" s="234"/>
      <c r="R33" s="220"/>
      <c r="S33" s="220"/>
      <c r="T33" s="293"/>
      <c r="V33" s="290" t="str">
        <f t="shared" si="5"/>
        <v/>
      </c>
    </row>
    <row r="34" spans="1:22" ht="13.5" thickBot="1">
      <c r="A34" s="219"/>
      <c r="B34" s="227" t="str">
        <f>IF(W2&gt;1,N3&amp;X2&amp;"_"&amp;Q42,N3&amp;"_"&amp;Q42)</f>
        <v>_</v>
      </c>
      <c r="C34" s="12"/>
      <c r="D34" s="12"/>
      <c r="E34" s="12"/>
      <c r="F34" s="12"/>
      <c r="G34" s="12"/>
      <c r="H34" s="12"/>
      <c r="I34" s="279"/>
      <c r="J34" s="235"/>
      <c r="K34" s="235"/>
      <c r="L34" s="12"/>
      <c r="M34" s="12"/>
      <c r="N34" s="12"/>
      <c r="O34" s="12"/>
      <c r="P34" s="222" t="s">
        <v>124</v>
      </c>
      <c r="Q34" s="236">
        <f>SUM(Y3:Y33)</f>
        <v>0</v>
      </c>
      <c r="R34" s="222"/>
      <c r="S34" s="225"/>
      <c r="T34" s="293"/>
      <c r="V34" s="290" t="str">
        <f t="shared" si="5"/>
        <v/>
      </c>
    </row>
    <row r="35" spans="1:22" ht="13.5" thickTop="1">
      <c r="A35" s="7">
        <v>7</v>
      </c>
      <c r="B35" s="8" t="s">
        <v>73</v>
      </c>
      <c r="C35" s="19"/>
      <c r="D35" s="19"/>
      <c r="E35" s="19"/>
      <c r="F35" s="19"/>
      <c r="G35" s="19"/>
      <c r="H35" s="19"/>
      <c r="I35" s="19"/>
      <c r="J35" s="19"/>
      <c r="K35" s="12"/>
      <c r="L35" s="12"/>
      <c r="M35" s="12"/>
      <c r="N35" s="12"/>
      <c r="O35" s="12"/>
      <c r="P35" s="234"/>
      <c r="Q35" s="225"/>
      <c r="R35" s="222"/>
      <c r="S35" s="225"/>
      <c r="T35" s="293"/>
      <c r="V35" s="290" t="str">
        <f t="shared" si="5"/>
        <v/>
      </c>
    </row>
    <row r="36" spans="1:22">
      <c r="A36" s="225"/>
      <c r="B36" s="224" t="s">
        <v>57</v>
      </c>
      <c r="C36" s="352"/>
      <c r="D36" s="353"/>
      <c r="E36" s="354"/>
      <c r="F36" s="12"/>
      <c r="G36" s="237"/>
      <c r="H36" s="222"/>
      <c r="I36" s="237"/>
      <c r="J36" s="238"/>
      <c r="K36" s="12"/>
      <c r="L36" s="12"/>
      <c r="M36" s="12"/>
      <c r="N36" s="12"/>
      <c r="O36" s="12"/>
      <c r="P36" s="12"/>
      <c r="Q36" s="225"/>
      <c r="R36" s="222"/>
      <c r="S36" s="239"/>
      <c r="T36" s="293"/>
      <c r="V36" s="290" t="str">
        <f t="shared" si="5"/>
        <v/>
      </c>
    </row>
    <row r="37" spans="1:22" ht="17.25" customHeight="1">
      <c r="A37" s="225"/>
      <c r="B37" s="224" t="s">
        <v>80</v>
      </c>
      <c r="C37" s="221"/>
      <c r="D37" s="221"/>
      <c r="E37" s="221"/>
      <c r="F37" s="12"/>
      <c r="G37" s="12"/>
      <c r="H37" s="12"/>
      <c r="I37" s="12"/>
      <c r="J37" s="240"/>
      <c r="K37" s="12"/>
      <c r="L37" s="12"/>
      <c r="M37" s="12"/>
      <c r="N37" s="12"/>
      <c r="O37" s="12"/>
      <c r="P37" s="12"/>
      <c r="Q37" s="12"/>
      <c r="R37" s="12"/>
      <c r="S37" s="12"/>
      <c r="T37" s="293"/>
    </row>
    <row r="38" spans="1:22">
      <c r="A38" s="225"/>
      <c r="B38" s="225" t="s">
        <v>2</v>
      </c>
      <c r="C38" s="12"/>
      <c r="D38" s="12"/>
      <c r="E38" s="12"/>
      <c r="F38" s="12"/>
      <c r="G38" s="12"/>
      <c r="H38" s="225" t="s">
        <v>7</v>
      </c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293"/>
    </row>
    <row r="39" spans="1:22">
      <c r="A39" s="219"/>
      <c r="B39" s="355"/>
      <c r="C39" s="355"/>
      <c r="D39" s="355"/>
      <c r="E39" s="355"/>
      <c r="F39" s="355"/>
      <c r="G39" s="12"/>
      <c r="H39" s="356"/>
      <c r="I39" s="357"/>
      <c r="J39" s="12"/>
      <c r="K39" s="12"/>
      <c r="L39" s="12"/>
      <c r="M39" s="12"/>
      <c r="N39" s="12"/>
      <c r="O39" s="12"/>
      <c r="P39" s="220"/>
      <c r="Q39" s="220"/>
      <c r="R39" s="220"/>
      <c r="S39" s="220"/>
      <c r="T39" s="293"/>
    </row>
    <row r="40" spans="1:22">
      <c r="A40" s="225"/>
      <c r="B40" s="225" t="s">
        <v>4</v>
      </c>
      <c r="C40" s="12"/>
      <c r="D40" s="12"/>
      <c r="E40" s="12"/>
      <c r="F40" s="12"/>
      <c r="G40" s="12"/>
      <c r="H40" s="225" t="s">
        <v>8</v>
      </c>
      <c r="I40" s="242"/>
      <c r="J40" s="12"/>
      <c r="K40" s="219"/>
      <c r="L40" s="12"/>
      <c r="M40" s="12"/>
      <c r="N40" s="12"/>
      <c r="O40" s="12"/>
      <c r="P40" s="220"/>
      <c r="Q40" s="220"/>
      <c r="R40" s="220"/>
      <c r="S40" s="220"/>
      <c r="T40" s="293"/>
    </row>
    <row r="41" spans="1:22" ht="15">
      <c r="A41" s="219"/>
      <c r="B41" s="355"/>
      <c r="C41" s="355"/>
      <c r="D41" s="355"/>
      <c r="E41" s="355"/>
      <c r="F41" s="355"/>
      <c r="G41" s="12"/>
      <c r="H41" s="356"/>
      <c r="I41" s="357"/>
      <c r="J41" s="12"/>
      <c r="K41" s="12"/>
      <c r="L41" s="339"/>
      <c r="M41" s="12"/>
      <c r="N41" s="12"/>
      <c r="O41" s="223"/>
      <c r="P41" s="241" t="s">
        <v>136</v>
      </c>
      <c r="Q41" s="378"/>
      <c r="R41" s="379"/>
      <c r="S41" s="379"/>
      <c r="T41" s="293"/>
    </row>
    <row r="42" spans="1:22">
      <c r="A42" s="219"/>
      <c r="B42" s="355"/>
      <c r="C42" s="355"/>
      <c r="D42" s="355"/>
      <c r="E42" s="355"/>
      <c r="F42" s="355"/>
      <c r="G42" s="12"/>
      <c r="H42" s="12"/>
      <c r="I42" s="12"/>
      <c r="J42" s="12"/>
      <c r="K42" s="12"/>
      <c r="L42" s="225"/>
      <c r="M42" s="12"/>
      <c r="N42" s="12"/>
      <c r="O42" s="12"/>
      <c r="P42" s="241" t="s">
        <v>132</v>
      </c>
      <c r="Q42" s="379"/>
      <c r="R42" s="379"/>
      <c r="S42" s="379"/>
      <c r="T42" s="293"/>
    </row>
    <row r="43" spans="1:22">
      <c r="A43" s="219"/>
      <c r="B43" s="355"/>
      <c r="C43" s="355"/>
      <c r="D43" s="355"/>
      <c r="E43" s="355"/>
      <c r="F43" s="355"/>
      <c r="G43" s="12"/>
      <c r="H43" s="12"/>
      <c r="I43" s="12"/>
      <c r="J43" s="12"/>
      <c r="K43" s="12"/>
      <c r="L43" s="340"/>
      <c r="M43" s="12"/>
      <c r="N43" s="12"/>
      <c r="O43" s="12"/>
      <c r="P43" s="241" t="s">
        <v>133</v>
      </c>
      <c r="Q43" s="379"/>
      <c r="R43" s="379"/>
      <c r="S43" s="379"/>
      <c r="T43" s="293"/>
    </row>
    <row r="44" spans="1:22">
      <c r="A44" s="7">
        <v>8</v>
      </c>
      <c r="B44" s="8" t="s">
        <v>137</v>
      </c>
      <c r="C44" s="19"/>
      <c r="D44" s="19"/>
      <c r="E44" s="19"/>
      <c r="F44" s="19"/>
      <c r="G44" s="19"/>
      <c r="H44" s="19"/>
      <c r="I44" s="19"/>
      <c r="J44" s="19"/>
      <c r="K44" s="12"/>
      <c r="L44" s="12"/>
      <c r="M44" s="12"/>
      <c r="N44" s="12"/>
      <c r="O44" s="12"/>
      <c r="P44" s="12"/>
      <c r="Q44" s="12"/>
      <c r="R44" s="12"/>
      <c r="S44" s="12"/>
      <c r="T44" s="293"/>
    </row>
    <row r="45" spans="1:22" ht="15" customHeight="1">
      <c r="A45" s="219"/>
      <c r="B45" s="363"/>
      <c r="C45" s="364"/>
      <c r="D45" s="365"/>
      <c r="E45" s="221"/>
      <c r="F45" s="221"/>
      <c r="G45" s="221"/>
      <c r="H45" s="221"/>
      <c r="I45" s="221"/>
      <c r="J45" s="221"/>
      <c r="K45" s="12"/>
      <c r="L45" s="12"/>
      <c r="M45" s="12"/>
      <c r="N45" s="12"/>
      <c r="O45" s="12"/>
      <c r="P45" s="12"/>
      <c r="Q45" s="12"/>
      <c r="R45" s="12"/>
      <c r="S45" s="12"/>
      <c r="T45" s="293"/>
    </row>
    <row r="46" spans="1:22" ht="42.75" customHeight="1">
      <c r="A46" s="219"/>
      <c r="B46" s="362" t="str">
        <f>IFERROR(VLOOKUP(B45,Summary!O1:P5,2,0),"")</f>
        <v/>
      </c>
      <c r="C46" s="362"/>
      <c r="D46" s="362"/>
      <c r="E46" s="362"/>
      <c r="F46" s="362"/>
      <c r="G46" s="362"/>
      <c r="H46" s="362"/>
      <c r="I46" s="362"/>
      <c r="J46" s="362"/>
      <c r="K46" s="12"/>
      <c r="L46" s="366"/>
      <c r="M46" s="367"/>
      <c r="N46" s="343"/>
      <c r="O46" s="344"/>
      <c r="P46" s="345"/>
      <c r="Q46" s="346"/>
      <c r="R46" s="345"/>
      <c r="S46" s="346"/>
      <c r="T46" s="293"/>
    </row>
    <row r="47" spans="1:22" ht="13.5" customHeight="1">
      <c r="A47" s="219"/>
      <c r="B47" s="8" t="s">
        <v>127</v>
      </c>
      <c r="C47" s="137"/>
      <c r="D47" s="137"/>
      <c r="E47" s="137"/>
      <c r="F47" s="137"/>
      <c r="G47" s="137"/>
      <c r="H47" s="137"/>
      <c r="I47" s="137"/>
      <c r="J47" s="137"/>
      <c r="K47" s="12"/>
      <c r="L47" s="349"/>
      <c r="M47" s="351"/>
      <c r="N47" s="347"/>
      <c r="O47" s="349"/>
      <c r="P47" s="350"/>
      <c r="Q47" s="351"/>
      <c r="R47" s="349"/>
      <c r="S47" s="351"/>
      <c r="T47" s="293"/>
    </row>
    <row r="48" spans="1:22" ht="16.5" customHeight="1">
      <c r="A48" s="219"/>
      <c r="B48" s="356"/>
      <c r="C48" s="361"/>
      <c r="D48" s="361"/>
      <c r="E48" s="361"/>
      <c r="F48" s="361"/>
      <c r="G48" s="361"/>
      <c r="H48" s="361"/>
      <c r="I48" s="361"/>
      <c r="J48" s="357"/>
      <c r="K48" s="12"/>
      <c r="L48" s="359" t="s">
        <v>217</v>
      </c>
      <c r="M48" s="360"/>
      <c r="N48" s="217" t="s">
        <v>215</v>
      </c>
      <c r="O48" s="359" t="s">
        <v>216</v>
      </c>
      <c r="P48" s="380"/>
      <c r="Q48" s="360"/>
      <c r="R48" s="359" t="s">
        <v>218</v>
      </c>
      <c r="S48" s="360"/>
      <c r="T48" s="293"/>
    </row>
    <row r="49" spans="1:20">
      <c r="A49" s="219"/>
      <c r="B49" s="220"/>
      <c r="C49" s="220"/>
      <c r="D49" s="220"/>
      <c r="E49" s="220"/>
      <c r="F49" s="220"/>
      <c r="G49" s="220"/>
      <c r="H49" s="220"/>
      <c r="I49" s="220"/>
      <c r="J49" s="220"/>
      <c r="K49" s="12"/>
      <c r="L49" s="207"/>
      <c r="M49" s="207"/>
      <c r="N49" s="207"/>
      <c r="O49" s="207"/>
      <c r="P49" s="207"/>
      <c r="Q49" s="207"/>
      <c r="R49" s="207"/>
      <c r="S49" s="207"/>
      <c r="T49" s="293"/>
    </row>
    <row r="50" spans="1:20">
      <c r="A50" s="219"/>
      <c r="B50" s="220"/>
      <c r="C50" s="220"/>
      <c r="D50" s="220"/>
      <c r="E50" s="220"/>
      <c r="F50" s="220"/>
      <c r="G50" s="220"/>
      <c r="H50" s="220"/>
      <c r="I50" s="220"/>
      <c r="J50" s="220"/>
      <c r="K50" s="12"/>
      <c r="L50" s="244"/>
      <c r="M50" s="368"/>
      <c r="N50" s="368"/>
      <c r="O50" s="368"/>
      <c r="P50" s="368"/>
      <c r="Q50" s="368"/>
      <c r="R50" s="368"/>
      <c r="S50" s="368"/>
    </row>
    <row r="51" spans="1:20">
      <c r="A51" s="22"/>
      <c r="B51" s="225" t="s">
        <v>244</v>
      </c>
      <c r="C51" s="12"/>
      <c r="D51" s="342"/>
      <c r="E51" s="220"/>
      <c r="F51" s="220"/>
      <c r="G51" s="220"/>
      <c r="H51" s="220"/>
      <c r="I51" s="220"/>
      <c r="J51" s="220"/>
      <c r="K51" s="12"/>
      <c r="L51" s="181"/>
      <c r="M51" s="181"/>
      <c r="N51" s="181"/>
      <c r="O51" s="181"/>
      <c r="P51" s="181"/>
      <c r="Q51" s="181"/>
      <c r="R51" s="181"/>
      <c r="S51" s="181"/>
    </row>
    <row r="52" spans="1:20">
      <c r="A52" s="22"/>
      <c r="B52" s="340" t="s">
        <v>243</v>
      </c>
      <c r="C52" s="12"/>
      <c r="D52" s="341"/>
      <c r="E52" s="220"/>
      <c r="F52" s="220"/>
      <c r="G52" s="220"/>
      <c r="H52" s="220"/>
      <c r="I52" s="220"/>
      <c r="J52" s="220"/>
      <c r="K52" s="12"/>
      <c r="L52" s="213" t="s">
        <v>219</v>
      </c>
      <c r="M52" s="181"/>
      <c r="N52" s="181"/>
      <c r="O52" s="181"/>
      <c r="P52" s="336" t="s">
        <v>242</v>
      </c>
      <c r="Q52" s="207"/>
      <c r="S52" s="207"/>
    </row>
    <row r="53" spans="1:20">
      <c r="A53" s="22"/>
      <c r="B53" s="220"/>
      <c r="C53" s="220"/>
      <c r="D53" s="220"/>
      <c r="E53" s="220"/>
      <c r="F53" s="220"/>
      <c r="G53" s="220"/>
      <c r="H53" s="220"/>
      <c r="I53" s="220"/>
      <c r="J53" s="220"/>
      <c r="K53" s="12"/>
      <c r="L53" s="216" t="s">
        <v>220</v>
      </c>
      <c r="M53" s="207"/>
      <c r="N53" s="245"/>
      <c r="O53" s="207"/>
      <c r="P53" s="337" t="s">
        <v>239</v>
      </c>
      <c r="Q53" s="369"/>
      <c r="R53" s="369"/>
      <c r="S53" s="207"/>
    </row>
    <row r="54" spans="1:20">
      <c r="A54" s="22"/>
      <c r="L54" s="207"/>
      <c r="M54" s="207"/>
      <c r="N54" s="207"/>
      <c r="O54" s="207"/>
      <c r="P54" s="214"/>
      <c r="Q54" s="207"/>
      <c r="S54" s="207"/>
    </row>
    <row r="55" spans="1:20">
      <c r="A55" s="22"/>
      <c r="L55" s="372"/>
      <c r="M55" s="373"/>
      <c r="N55" s="202"/>
      <c r="O55" s="209"/>
      <c r="P55" s="337" t="s">
        <v>240</v>
      </c>
      <c r="Q55" s="369"/>
      <c r="R55" s="369"/>
      <c r="S55" s="207"/>
    </row>
    <row r="56" spans="1:20">
      <c r="A56" s="22"/>
      <c r="L56" s="374"/>
      <c r="M56" s="375"/>
      <c r="N56" s="206"/>
      <c r="O56" s="209"/>
      <c r="P56" s="337" t="s">
        <v>241</v>
      </c>
      <c r="Q56" s="369"/>
      <c r="R56" s="369"/>
      <c r="S56" s="207"/>
    </row>
    <row r="57" spans="1:20">
      <c r="A57" s="22"/>
      <c r="L57" s="374"/>
      <c r="M57" s="375"/>
      <c r="N57" s="206"/>
      <c r="O57" s="215"/>
      <c r="P57" s="214"/>
      <c r="Q57" s="214"/>
      <c r="R57" s="214"/>
      <c r="S57" s="214"/>
    </row>
    <row r="58" spans="1:20">
      <c r="A58" s="22"/>
      <c r="L58" s="376"/>
      <c r="M58" s="377"/>
      <c r="N58" s="210"/>
      <c r="O58" s="207"/>
      <c r="P58" s="207"/>
      <c r="Q58" s="207"/>
      <c r="R58" s="207"/>
      <c r="S58" s="207"/>
    </row>
    <row r="59" spans="1:20">
      <c r="A59" s="22"/>
      <c r="J59" s="319"/>
      <c r="L59" s="359" t="s">
        <v>215</v>
      </c>
      <c r="M59" s="360"/>
      <c r="N59" s="243" t="s">
        <v>216</v>
      </c>
      <c r="O59" s="181"/>
      <c r="P59" s="207"/>
      <c r="Q59" s="181"/>
      <c r="R59" s="181"/>
      <c r="S59" s="318"/>
    </row>
    <row r="60" spans="1:20">
      <c r="A60" s="22"/>
    </row>
    <row r="61" spans="1:20">
      <c r="A61" s="22"/>
    </row>
    <row r="62" spans="1:20">
      <c r="A62" s="22"/>
    </row>
    <row r="63" spans="1:20">
      <c r="A63" s="22"/>
    </row>
    <row r="64" spans="1:20">
      <c r="A64" s="22"/>
    </row>
    <row r="65" spans="1:1">
      <c r="A65" s="22"/>
    </row>
    <row r="66" spans="1:1">
      <c r="A66" s="22"/>
    </row>
    <row r="67" spans="1:1">
      <c r="A67" s="22"/>
    </row>
    <row r="68" spans="1:1">
      <c r="A68" s="22"/>
    </row>
    <row r="69" spans="1:1">
      <c r="A69" s="22"/>
    </row>
    <row r="70" spans="1:1">
      <c r="A70" s="22"/>
    </row>
    <row r="71" spans="1:1">
      <c r="A71" s="22"/>
    </row>
  </sheetData>
  <sheetProtection algorithmName="SHA-512" hashValue="RMXl9wqp4BwOEvTq5gh0rfvUamWOJXSo4gejIcwQJbvOjlJD51pv/34ynSMicSEP8qafHDfq/HcHdx6xR/hdEQ==" saltValue="a+1D83yseGvcmSpWGImy1Q==" spinCount="100000" sheet="1" objects="1" scenarios="1"/>
  <protectedRanges>
    <protectedRange sqref="B2 C4:C5 H4 B8 H8 H10 H12 H14 B17 B19 B21:F23 H17 H19 H21 H23 J31 C36 B39 B41:F43 H39 H41 B45 Q41:S43 B48 B10 B12:B14 L46:S47 N53 L55:N58 B27:F31 T1:AB39 L3:S32" name="Range1"/>
  </protectedRanges>
  <customSheetViews>
    <customSheetView guid="{B917A2D9-9544-4879-AB10-D367CD87C30A}" showPageBreaks="1" showGridLines="0" printArea="1" hiddenColumns="1" view="pageBreakPreview">
      <selection activeCell="N2" sqref="N2"/>
      <colBreaks count="1" manualBreakCount="1">
        <brk id="10" max="58" man="1"/>
      </colBreaks>
      <pageMargins left="0.23622047244094491" right="0.23622047244094491" top="0.74803149606299213" bottom="0.74803149606299213" header="0.31496062992125984" footer="0.31496062992125984"/>
      <pageSetup paperSize="9" scale="72" fitToWidth="0" orientation="portrait" horizontalDpi="300" verticalDpi="300" r:id="rId1"/>
      <headerFooter>
        <oddFooter>&amp;RREC0303-001-14</oddFooter>
      </headerFooter>
    </customSheetView>
  </customSheetViews>
  <mergeCells count="47">
    <mergeCell ref="Q53:R53"/>
    <mergeCell ref="Q55:R55"/>
    <mergeCell ref="Q56:R56"/>
    <mergeCell ref="D5:G5"/>
    <mergeCell ref="H4:I4"/>
    <mergeCell ref="O50:Q50"/>
    <mergeCell ref="R50:S50"/>
    <mergeCell ref="L55:M58"/>
    <mergeCell ref="Q41:S41"/>
    <mergeCell ref="Q42:S42"/>
    <mergeCell ref="Q43:S43"/>
    <mergeCell ref="O48:Q48"/>
    <mergeCell ref="R48:S48"/>
    <mergeCell ref="B8:F8"/>
    <mergeCell ref="H8:I8"/>
    <mergeCell ref="B10:F10"/>
    <mergeCell ref="H10:I10"/>
    <mergeCell ref="B12:F12"/>
    <mergeCell ref="H12:I12"/>
    <mergeCell ref="L59:M59"/>
    <mergeCell ref="H41:I41"/>
    <mergeCell ref="B48:J48"/>
    <mergeCell ref="B46:J46"/>
    <mergeCell ref="B45:D45"/>
    <mergeCell ref="L48:M48"/>
    <mergeCell ref="L46:M47"/>
    <mergeCell ref="M50:N50"/>
    <mergeCell ref="B13:F13"/>
    <mergeCell ref="B14:F14"/>
    <mergeCell ref="H14:I14"/>
    <mergeCell ref="B23:F23"/>
    <mergeCell ref="H23:I23"/>
    <mergeCell ref="O47:Q47"/>
    <mergeCell ref="R47:S47"/>
    <mergeCell ref="C36:E36"/>
    <mergeCell ref="B17:F17"/>
    <mergeCell ref="H17:I17"/>
    <mergeCell ref="B21:F21"/>
    <mergeCell ref="H21:I21"/>
    <mergeCell ref="B22:F22"/>
    <mergeCell ref="B19:F19"/>
    <mergeCell ref="H19:I19"/>
    <mergeCell ref="H39:I39"/>
    <mergeCell ref="B39:F39"/>
    <mergeCell ref="B41:F41"/>
    <mergeCell ref="B42:F42"/>
    <mergeCell ref="B43:F43"/>
  </mergeCells>
  <phoneticPr fontId="39"/>
  <conditionalFormatting sqref="A37:J43">
    <cfRule type="expression" dxfId="9" priority="14">
      <formula>$C$36="No commercial Value"</formula>
    </cfRule>
  </conditionalFormatting>
  <conditionalFormatting sqref="H4 A16:J23">
    <cfRule type="expression" dxfId="8" priority="13">
      <formula>$C$4="shipper"</formula>
    </cfRule>
  </conditionalFormatting>
  <conditionalFormatting sqref="A16:J23">
    <cfRule type="expression" dxfId="7" priority="12">
      <formula>$C$4="receiver"</formula>
    </cfRule>
  </conditionalFormatting>
  <conditionalFormatting sqref="B34">
    <cfRule type="expression" dxfId="6" priority="7">
      <formula>$B$34=0</formula>
    </cfRule>
  </conditionalFormatting>
  <conditionalFormatting sqref="B46:J46">
    <cfRule type="expression" dxfId="5" priority="6">
      <formula>$B$46=0</formula>
    </cfRule>
  </conditionalFormatting>
  <conditionalFormatting sqref="O41:O43">
    <cfRule type="duplicateValues" dxfId="4" priority="3"/>
  </conditionalFormatting>
  <conditionalFormatting sqref="P42:P43">
    <cfRule type="duplicateValues" dxfId="3" priority="2"/>
  </conditionalFormatting>
  <conditionalFormatting sqref="P41">
    <cfRule type="duplicateValues" dxfId="2" priority="1"/>
  </conditionalFormatting>
  <dataValidations xWindow="959" yWindow="442" count="17">
    <dataValidation type="list" allowBlank="1" showInputMessage="1" showErrorMessage="1" prompt="Type of payment" sqref="C5" xr:uid="{00000000-0002-0000-0100-000000000000}">
      <formula1>"DDU,EXW,FOB,DDP"</formula1>
    </dataValidation>
    <dataValidation type="list" allowBlank="1" showInputMessage="1" showErrorMessage="1" prompt="Who will pay shipment charges?" sqref="C4" xr:uid="{00000000-0002-0000-0100-000001000000}">
      <formula1>"Shipper,Receiver,3rd Party"</formula1>
    </dataValidation>
    <dataValidation type="list" allowBlank="1" showInputMessage="1" showErrorMessage="1" prompt="Select shipment type" sqref="B2" xr:uid="{00000000-0002-0000-0100-000002000000}">
      <formula1>INDIRECT("mode")</formula1>
    </dataValidation>
    <dataValidation allowBlank="1" showInputMessage="1" showErrorMessage="1" prompt="example:_x000a_PHP, USD, JPY etc." sqref="R3:R32" xr:uid="{00000000-0002-0000-0100-000003000000}"/>
    <dataValidation allowBlank="1" showInputMessage="1" showErrorMessage="1" prompt="For SAP generated item, required._x000a_If not, input N/A." sqref="L3:L32" xr:uid="{00000000-0002-0000-0100-000005000000}"/>
    <dataValidation allowBlank="1" showInputMessage="1" showErrorMessage="1" prompt="No. of Pieces" sqref="O3:O32" xr:uid="{00000000-0002-0000-0100-000006000000}"/>
    <dataValidation allowBlank="1" showInputMessage="1" showErrorMessage="1" prompt="Unit of Measure" sqref="P2" xr:uid="{00000000-0002-0000-0100-000007000000}"/>
    <dataValidation allowBlank="1" showInputMessage="1" showErrorMessage="1" prompt="for Courier, Maximum 300cm" sqref="D28:F31" xr:uid="{00000000-0002-0000-0100-000008000000}"/>
    <dataValidation allowBlank="1" showInputMessage="1" showErrorMessage="1" prompt="2 decimals only" sqref="C27:C31 D27:F27" xr:uid="{00000000-0002-0000-0100-000009000000}"/>
    <dataValidation type="list" allowBlank="1" showInputMessage="1" showErrorMessage="1" sqref="J31" xr:uid="{00000000-0002-0000-0100-00000A000000}">
      <formula1>"Box,Pallet,Package,PCS"</formula1>
    </dataValidation>
    <dataValidation allowBlank="1" showInputMessage="1" showErrorMessage="1" prompt="Input price_x000a_per piece_x000a_2 decimals only" sqref="Q3:Q32" xr:uid="{00000000-0002-0000-0100-00000B000000}"/>
    <dataValidation type="list" allowBlank="1" showInputMessage="1" showErrorMessage="1" prompt="CV - for sale (input below details)_x000a_NCV - not for sale (below details leave BLANK)" sqref="C36:E36" xr:uid="{00000000-0002-0000-0100-00000C000000}">
      <formula1>"No Commercial Value,Commercial Value"</formula1>
    </dataValidation>
    <dataValidation allowBlank="1" showInputMessage="1" showErrorMessage="1" prompt="For Paid by Receiver or 3rd Party ONLY" sqref="H4" xr:uid="{00000000-0002-0000-0100-00000D000000}"/>
    <dataValidation allowBlank="1" showInputMessage="1" showErrorMessage="1" prompt="Part code or Material code" sqref="M3:M32" xr:uid="{00000000-0002-0000-0100-00000E000000}"/>
    <dataValidation allowBlank="1" showInputMessage="1" showErrorMessage="1" prompt="Unit of Measure_x000a_Example: PCS" sqref="P3:P32" xr:uid="{00000000-0002-0000-0100-00000F000000}"/>
    <dataValidation allowBlank="1" showInputMessage="1" showErrorMessage="1" prompt="where the item/s originated" sqref="S3:S32" xr:uid="{8F8314E0-65DC-42D4-A1F9-32952529C40C}"/>
    <dataValidation type="list" allowBlank="1" showInputMessage="1" showErrorMessage="1" sqref="D51" xr:uid="{72D9CA36-6740-49E7-A10C-AA48E6196E74}">
      <formula1>"YES, NO"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89" fitToWidth="0" orientation="portrait" horizontalDpi="300" verticalDpi="300" r:id="rId2"/>
  <headerFooter>
    <oddHeader>&amp;L&amp;"-,Bold"&amp;24Outbound Request Form</oddHeader>
    <oddFooter>&amp;LBROTHER INDUSTRIES (PHILIPPINES), INC.&amp;RREC0303-001-15</oddFooter>
  </headerFooter>
  <colBreaks count="1" manualBreakCount="1">
    <brk id="10" max="58" man="1"/>
  </colBreaks>
  <ignoredErrors>
    <ignoredError sqref="U3:U32" formulaRange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xWindow="959" yWindow="442" count="2">
        <x14:dataValidation type="list" allowBlank="1" showInputMessage="1" showErrorMessage="1" xr:uid="{00000000-0002-0000-0100-000010000000}">
          <x14:formula1>
            <xm:f>Summary!$O$1:$O$5</xm:f>
          </x14:formula1>
          <xm:sqref>B45</xm:sqref>
        </x14:dataValidation>
        <x14:dataValidation type="list" allowBlank="1" showInputMessage="1" showErrorMessage="1" xr:uid="{10E79DC6-C68C-40B4-8FF5-78DEC5024726}">
          <x14:formula1>
            <xm:f>REF!$H$2:$H$27</xm:f>
          </x14:formula1>
          <xm:sqref>Q42:S42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pageSetUpPr fitToPage="1"/>
  </sheetPr>
  <dimension ref="A1:T63"/>
  <sheetViews>
    <sheetView showGridLines="0" view="pageBreakPreview" topLeftCell="A19" zoomScale="106" zoomScaleNormal="130" zoomScaleSheetLayoutView="106" workbookViewId="0">
      <selection activeCell="C27" sqref="C27:F27"/>
    </sheetView>
  </sheetViews>
  <sheetFormatPr defaultColWidth="9.140625" defaultRowHeight="12.75"/>
  <cols>
    <col min="1" max="1" width="3.42578125" style="201" customWidth="1"/>
    <col min="2" max="2" width="22.140625" style="181" customWidth="1"/>
    <col min="3" max="3" width="12.7109375" style="181" customWidth="1"/>
    <col min="4" max="4" width="8" style="181" customWidth="1"/>
    <col min="5" max="5" width="5.42578125" style="181" customWidth="1"/>
    <col min="6" max="6" width="8.5703125" style="181" customWidth="1"/>
    <col min="7" max="7" width="9" style="181" customWidth="1"/>
    <col min="8" max="9" width="13.85546875" style="181" customWidth="1"/>
    <col min="10" max="10" width="17.28515625" style="181" customWidth="1"/>
    <col min="11" max="11" width="9.140625" style="179" hidden="1" customWidth="1"/>
    <col min="12" max="12" width="8.42578125" style="190" hidden="1" customWidth="1"/>
    <col min="13" max="13" width="9.7109375" style="179" hidden="1" customWidth="1"/>
    <col min="14" max="14" width="12.28515625" style="179" customWidth="1"/>
    <col min="15" max="15" width="9.7109375" style="181" customWidth="1"/>
    <col min="16" max="16" width="11.7109375" style="181" customWidth="1"/>
    <col min="17" max="17" width="10.140625" style="181" customWidth="1"/>
    <col min="18" max="19" width="9.140625" style="181" customWidth="1"/>
    <col min="20" max="20" width="2" style="181" customWidth="1"/>
    <col min="21" max="21" width="9.140625" style="181" customWidth="1"/>
    <col min="22" max="16384" width="9.140625" style="181"/>
  </cols>
  <sheetData>
    <row r="1" spans="1:20" s="174" customFormat="1" ht="16.5" customHeight="1">
      <c r="A1" s="166">
        <v>1</v>
      </c>
      <c r="B1" s="167" t="s">
        <v>34</v>
      </c>
      <c r="C1" s="168"/>
      <c r="D1" s="168"/>
      <c r="E1" s="167"/>
      <c r="F1" s="169"/>
      <c r="G1" s="169"/>
      <c r="H1" s="169"/>
      <c r="I1" s="169"/>
      <c r="J1" s="168"/>
      <c r="K1" s="170" t="str">
        <f>IF(L1&gt;1,"etc.","")</f>
        <v/>
      </c>
      <c r="L1" s="334">
        <f>SUM(L26:L35)</f>
        <v>0</v>
      </c>
      <c r="M1" s="170" t="str">
        <f>$C$26&amp;" "&amp;$K$1&amp;"_"&amp;$D$42</f>
        <v xml:space="preserve"> _</v>
      </c>
      <c r="N1" s="170"/>
      <c r="O1" s="170"/>
      <c r="P1" s="171"/>
      <c r="Q1" s="171"/>
      <c r="R1" s="172"/>
      <c r="S1" s="173"/>
      <c r="T1" s="151"/>
    </row>
    <row r="2" spans="1:20" ht="15.75" customHeight="1">
      <c r="A2" s="175"/>
      <c r="B2" s="176"/>
      <c r="C2" s="177" t="str">
        <f>IFERROR(VLOOKUP(B2,Summary!I1:J7,2,0),"")</f>
        <v/>
      </c>
      <c r="D2" s="165"/>
      <c r="E2" s="165"/>
      <c r="F2" s="165"/>
      <c r="G2" s="165"/>
      <c r="H2" s="178"/>
      <c r="I2" s="383"/>
      <c r="J2" s="383"/>
      <c r="K2" s="249">
        <f>C4</f>
        <v>0</v>
      </c>
      <c r="L2" s="180"/>
      <c r="M2" s="171"/>
      <c r="Q2" s="182"/>
      <c r="R2" s="182"/>
      <c r="S2" s="183"/>
    </row>
    <row r="3" spans="1:20" ht="16.5" customHeight="1">
      <c r="A3" s="166">
        <v>2</v>
      </c>
      <c r="B3" s="167" t="s">
        <v>54</v>
      </c>
      <c r="C3" s="168"/>
      <c r="D3" s="168"/>
      <c r="E3" s="168"/>
      <c r="F3" s="168"/>
      <c r="G3" s="168"/>
      <c r="H3" s="168"/>
      <c r="I3" s="168"/>
      <c r="J3" s="168"/>
      <c r="K3" s="249" t="str">
        <f>$K$2&amp;$H$4</f>
        <v>0</v>
      </c>
      <c r="M3" s="249"/>
      <c r="Q3" s="182"/>
      <c r="R3" s="182"/>
      <c r="S3" s="183"/>
    </row>
    <row r="4" spans="1:20" ht="15" customHeight="1">
      <c r="A4" s="184"/>
      <c r="B4" s="164" t="s">
        <v>1</v>
      </c>
      <c r="C4" s="162"/>
      <c r="D4" s="165"/>
      <c r="E4" s="165"/>
      <c r="F4" s="165"/>
      <c r="G4" s="178" t="s">
        <v>18</v>
      </c>
      <c r="H4" s="381"/>
      <c r="I4" s="381"/>
      <c r="J4" s="186" t="s">
        <v>52</v>
      </c>
      <c r="K4" s="249"/>
      <c r="M4" s="249"/>
      <c r="Q4" s="182"/>
      <c r="R4" s="182"/>
      <c r="S4" s="183"/>
    </row>
    <row r="5" spans="1:20" ht="27.75" customHeight="1">
      <c r="A5" s="184"/>
      <c r="B5" s="164" t="s">
        <v>53</v>
      </c>
      <c r="C5" s="307"/>
      <c r="D5" s="370" t="str">
        <f>IFERROR(VLOOKUP(C5,Summary!A1:E4,2,0),"")</f>
        <v/>
      </c>
      <c r="E5" s="371"/>
      <c r="F5" s="371"/>
      <c r="G5" s="371"/>
      <c r="H5" s="248" t="str">
        <f>IF(OR($K$3="RECEIVER359 954 794",$K$3="RECEIVER642 289 568",$K$3="3RD PARTY359 954 794",$K$3="3RD PARTY642 289 568"),"Please input correct account number.","")</f>
        <v/>
      </c>
      <c r="I5" s="165"/>
      <c r="J5" s="165"/>
      <c r="L5" s="180"/>
      <c r="Q5" s="182"/>
      <c r="R5" s="182"/>
      <c r="S5" s="183"/>
    </row>
    <row r="6" spans="1:20" ht="12.75" customHeight="1">
      <c r="A6" s="166">
        <v>3</v>
      </c>
      <c r="B6" s="167" t="s">
        <v>36</v>
      </c>
      <c r="C6" s="169"/>
      <c r="D6" s="169"/>
      <c r="E6" s="169"/>
      <c r="F6" s="169"/>
      <c r="G6" s="169"/>
      <c r="H6" s="169"/>
      <c r="I6" s="169"/>
      <c r="J6" s="169"/>
      <c r="L6" s="180"/>
      <c r="Q6" s="182"/>
      <c r="R6" s="182"/>
      <c r="S6" s="183"/>
    </row>
    <row r="7" spans="1:20" ht="13.5" customHeight="1">
      <c r="A7" s="184"/>
      <c r="B7" s="187" t="s">
        <v>2</v>
      </c>
      <c r="C7" s="165"/>
      <c r="D7" s="165"/>
      <c r="E7" s="165"/>
      <c r="F7" s="165"/>
      <c r="G7" s="165"/>
      <c r="H7" s="187" t="s">
        <v>5</v>
      </c>
      <c r="I7" s="165"/>
      <c r="J7" s="165"/>
      <c r="L7" s="180"/>
      <c r="Q7" s="182"/>
      <c r="R7" s="182"/>
      <c r="S7" s="183"/>
    </row>
    <row r="8" spans="1:20" ht="13.5" customHeight="1">
      <c r="A8" s="184"/>
      <c r="B8" s="382"/>
      <c r="C8" s="382"/>
      <c r="D8" s="382"/>
      <c r="E8" s="382"/>
      <c r="F8" s="382"/>
      <c r="G8" s="165"/>
      <c r="H8" s="382"/>
      <c r="I8" s="382"/>
      <c r="J8" s="188"/>
      <c r="L8" s="180"/>
      <c r="Q8" s="182"/>
      <c r="R8" s="182"/>
      <c r="S8" s="183"/>
    </row>
    <row r="9" spans="1:20" ht="13.5" customHeight="1">
      <c r="A9" s="184"/>
      <c r="B9" s="187" t="s">
        <v>3</v>
      </c>
      <c r="C9" s="165"/>
      <c r="D9" s="165"/>
      <c r="E9" s="165"/>
      <c r="F9" s="165"/>
      <c r="G9" s="165"/>
      <c r="H9" s="187" t="s">
        <v>6</v>
      </c>
      <c r="I9" s="165"/>
      <c r="J9" s="165"/>
      <c r="L9" s="180"/>
      <c r="Q9" s="182"/>
      <c r="R9" s="182"/>
      <c r="S9" s="183"/>
    </row>
    <row r="10" spans="1:20" ht="13.5" customHeight="1">
      <c r="A10" s="184"/>
      <c r="B10" s="382"/>
      <c r="C10" s="382"/>
      <c r="D10" s="382"/>
      <c r="E10" s="382"/>
      <c r="F10" s="382"/>
      <c r="G10" s="165"/>
      <c r="H10" s="381"/>
      <c r="I10" s="381"/>
      <c r="J10" s="188"/>
      <c r="L10" s="180"/>
      <c r="Q10" s="182"/>
      <c r="R10" s="182"/>
      <c r="S10" s="183"/>
    </row>
    <row r="11" spans="1:20" ht="13.5" customHeight="1">
      <c r="A11" s="184"/>
      <c r="B11" s="187" t="s">
        <v>4</v>
      </c>
      <c r="C11" s="165"/>
      <c r="D11" s="165"/>
      <c r="E11" s="165"/>
      <c r="F11" s="165"/>
      <c r="G11" s="165"/>
      <c r="H11" s="187" t="s">
        <v>7</v>
      </c>
      <c r="I11" s="165"/>
      <c r="J11" s="165"/>
      <c r="L11" s="180"/>
      <c r="Q11" s="182"/>
      <c r="R11" s="182"/>
      <c r="S11" s="183"/>
    </row>
    <row r="12" spans="1:20" ht="13.5" customHeight="1">
      <c r="A12" s="184"/>
      <c r="B12" s="382"/>
      <c r="C12" s="382"/>
      <c r="D12" s="382"/>
      <c r="E12" s="382"/>
      <c r="F12" s="382"/>
      <c r="G12" s="165"/>
      <c r="H12" s="384"/>
      <c r="I12" s="382"/>
      <c r="J12" s="188"/>
      <c r="L12" s="180"/>
      <c r="Q12" s="182"/>
      <c r="R12" s="182"/>
      <c r="S12" s="183"/>
    </row>
    <row r="13" spans="1:20" ht="13.5" customHeight="1">
      <c r="A13" s="184"/>
      <c r="B13" s="382"/>
      <c r="C13" s="382"/>
      <c r="D13" s="382"/>
      <c r="E13" s="382"/>
      <c r="F13" s="382"/>
      <c r="G13" s="165"/>
      <c r="H13" s="187" t="s">
        <v>8</v>
      </c>
      <c r="I13" s="165"/>
      <c r="J13" s="165"/>
      <c r="K13" s="189"/>
      <c r="L13" s="180"/>
      <c r="Q13" s="182"/>
      <c r="R13" s="182"/>
      <c r="S13" s="183"/>
    </row>
    <row r="14" spans="1:20" ht="13.5" customHeight="1">
      <c r="A14" s="184"/>
      <c r="B14" s="382"/>
      <c r="C14" s="382"/>
      <c r="D14" s="382"/>
      <c r="E14" s="382"/>
      <c r="F14" s="382"/>
      <c r="G14" s="165"/>
      <c r="H14" s="382"/>
      <c r="I14" s="382"/>
      <c r="J14" s="188"/>
      <c r="K14" s="189"/>
      <c r="Q14" s="182"/>
      <c r="R14" s="182"/>
      <c r="S14" s="183"/>
    </row>
    <row r="15" spans="1:20" ht="14.25" customHeight="1">
      <c r="A15" s="166">
        <v>4</v>
      </c>
      <c r="B15" s="167" t="s">
        <v>35</v>
      </c>
      <c r="C15" s="169"/>
      <c r="D15" s="169"/>
      <c r="E15" s="169"/>
      <c r="F15" s="169"/>
      <c r="G15" s="169"/>
      <c r="H15" s="169"/>
      <c r="I15" s="169"/>
      <c r="J15" s="169"/>
      <c r="K15" s="191"/>
      <c r="L15" s="180"/>
      <c r="Q15" s="182"/>
      <c r="R15" s="182"/>
      <c r="S15" s="183"/>
    </row>
    <row r="16" spans="1:20" ht="12.75" customHeight="1">
      <c r="A16" s="187"/>
      <c r="B16" s="187" t="s">
        <v>2</v>
      </c>
      <c r="C16" s="165"/>
      <c r="D16" s="165"/>
      <c r="E16" s="165"/>
      <c r="F16" s="165"/>
      <c r="G16" s="165"/>
      <c r="H16" s="187" t="s">
        <v>5</v>
      </c>
      <c r="I16" s="165"/>
      <c r="J16" s="165"/>
      <c r="K16" s="191"/>
      <c r="L16" s="180"/>
      <c r="Q16" s="182"/>
      <c r="R16" s="182"/>
      <c r="S16" s="183"/>
    </row>
    <row r="17" spans="1:19" ht="12.75" customHeight="1">
      <c r="A17" s="187"/>
      <c r="B17" s="381"/>
      <c r="C17" s="381"/>
      <c r="D17" s="381"/>
      <c r="E17" s="381"/>
      <c r="F17" s="381"/>
      <c r="G17" s="165"/>
      <c r="H17" s="382"/>
      <c r="I17" s="382"/>
      <c r="J17" s="165"/>
      <c r="K17" s="189"/>
      <c r="L17" s="180"/>
      <c r="Q17" s="182"/>
      <c r="R17" s="182"/>
      <c r="S17" s="183"/>
    </row>
    <row r="18" spans="1:19" ht="12.75" customHeight="1">
      <c r="A18" s="187"/>
      <c r="B18" s="187" t="s">
        <v>3</v>
      </c>
      <c r="C18" s="165"/>
      <c r="D18" s="165"/>
      <c r="E18" s="165"/>
      <c r="F18" s="165"/>
      <c r="G18" s="165"/>
      <c r="H18" s="187" t="s">
        <v>6</v>
      </c>
      <c r="I18" s="165"/>
      <c r="J18" s="165"/>
      <c r="K18" s="189"/>
      <c r="L18" s="180"/>
      <c r="Q18" s="182"/>
      <c r="R18" s="182"/>
      <c r="S18" s="183"/>
    </row>
    <row r="19" spans="1:19" ht="12.75" customHeight="1">
      <c r="A19" s="187"/>
      <c r="B19" s="381"/>
      <c r="C19" s="381"/>
      <c r="D19" s="381"/>
      <c r="E19" s="381"/>
      <c r="F19" s="381"/>
      <c r="G19" s="165"/>
      <c r="H19" s="382"/>
      <c r="I19" s="382"/>
      <c r="J19" s="165"/>
      <c r="L19" s="180"/>
      <c r="Q19" s="182"/>
      <c r="R19" s="182"/>
      <c r="S19" s="183"/>
    </row>
    <row r="20" spans="1:19" ht="12.75" customHeight="1">
      <c r="A20" s="187"/>
      <c r="B20" s="187" t="s">
        <v>4</v>
      </c>
      <c r="C20" s="165"/>
      <c r="D20" s="165"/>
      <c r="E20" s="165"/>
      <c r="F20" s="165"/>
      <c r="G20" s="165"/>
      <c r="H20" s="187" t="s">
        <v>7</v>
      </c>
      <c r="I20" s="165"/>
      <c r="J20" s="165"/>
      <c r="L20" s="180"/>
      <c r="Q20" s="182"/>
      <c r="R20" s="182"/>
      <c r="S20" s="183"/>
    </row>
    <row r="21" spans="1:19" ht="12.75" customHeight="1">
      <c r="A21" s="187"/>
      <c r="B21" s="382"/>
      <c r="C21" s="382"/>
      <c r="D21" s="382"/>
      <c r="E21" s="382"/>
      <c r="F21" s="382"/>
      <c r="G21" s="165"/>
      <c r="H21" s="382"/>
      <c r="I21" s="382"/>
      <c r="J21" s="165"/>
      <c r="L21" s="180"/>
      <c r="Q21" s="182"/>
      <c r="R21" s="182"/>
      <c r="S21" s="183"/>
    </row>
    <row r="22" spans="1:19" ht="12.75" customHeight="1">
      <c r="A22" s="187"/>
      <c r="B22" s="382"/>
      <c r="C22" s="382"/>
      <c r="D22" s="382"/>
      <c r="E22" s="382"/>
      <c r="F22" s="382"/>
      <c r="G22" s="165"/>
      <c r="H22" s="187" t="s">
        <v>8</v>
      </c>
      <c r="I22" s="165"/>
      <c r="J22" s="165"/>
      <c r="L22" s="180"/>
      <c r="Q22" s="182"/>
      <c r="R22" s="182"/>
      <c r="S22" s="183"/>
    </row>
    <row r="23" spans="1:19" ht="12.75" customHeight="1">
      <c r="A23" s="187"/>
      <c r="B23" s="382"/>
      <c r="C23" s="382"/>
      <c r="D23" s="382"/>
      <c r="E23" s="382"/>
      <c r="F23" s="382"/>
      <c r="G23" s="165"/>
      <c r="H23" s="382"/>
      <c r="I23" s="382"/>
      <c r="J23" s="165"/>
      <c r="L23" s="180"/>
      <c r="Q23" s="182"/>
      <c r="R23" s="182"/>
      <c r="S23" s="183"/>
    </row>
    <row r="24" spans="1:19" ht="12.75" customHeight="1">
      <c r="A24" s="166">
        <v>5</v>
      </c>
      <c r="B24" s="168" t="s">
        <v>60</v>
      </c>
      <c r="C24" s="167"/>
      <c r="D24" s="168"/>
      <c r="E24" s="168"/>
      <c r="F24" s="168"/>
      <c r="G24" s="168"/>
      <c r="H24" s="168"/>
      <c r="I24" s="168"/>
      <c r="J24" s="168"/>
      <c r="L24" s="180"/>
      <c r="M24" s="171"/>
      <c r="N24" s="171"/>
      <c r="O24" s="24"/>
      <c r="P24" s="24"/>
      <c r="Q24" s="182"/>
      <c r="R24" s="182"/>
      <c r="S24" s="183"/>
    </row>
    <row r="25" spans="1:19" ht="16.5" customHeight="1">
      <c r="A25" s="157" t="s">
        <v>24</v>
      </c>
      <c r="B25" s="161" t="s">
        <v>59</v>
      </c>
      <c r="C25" s="385" t="s">
        <v>61</v>
      </c>
      <c r="D25" s="385"/>
      <c r="E25" s="385"/>
      <c r="F25" s="385"/>
      <c r="G25" s="161" t="s">
        <v>25</v>
      </c>
      <c r="H25" s="161" t="s">
        <v>31</v>
      </c>
      <c r="I25" s="161" t="s">
        <v>26</v>
      </c>
      <c r="J25" s="161" t="s">
        <v>27</v>
      </c>
      <c r="K25" s="171" t="s">
        <v>196</v>
      </c>
      <c r="L25" s="180" t="s">
        <v>197</v>
      </c>
      <c r="M25" s="180" t="s">
        <v>198</v>
      </c>
      <c r="N25" s="180"/>
      <c r="O25" s="24"/>
      <c r="P25" s="24"/>
      <c r="Q25" s="182"/>
      <c r="R25" s="182"/>
      <c r="S25" s="183"/>
    </row>
    <row r="26" spans="1:19" ht="15" customHeight="1">
      <c r="A26" s="192">
        <v>1</v>
      </c>
      <c r="B26" s="193"/>
      <c r="C26" s="369"/>
      <c r="D26" s="369"/>
      <c r="E26" s="369"/>
      <c r="F26" s="369"/>
      <c r="G26" s="193"/>
      <c r="H26" s="193"/>
      <c r="I26" s="193"/>
      <c r="J26" s="193"/>
      <c r="K26" s="171" t="str">
        <f>IF(C26="","",IF(IF(L26&lt;6,"NG","OK")="NG","Incomplete",IF(L26&lt;6,"NG","OK")))</f>
        <v/>
      </c>
      <c r="L26" s="180">
        <f>COUNTA($B26:$J26)</f>
        <v>0</v>
      </c>
      <c r="M26" s="171">
        <f>COUNTA(C26:C35)</f>
        <v>0</v>
      </c>
      <c r="N26" s="171"/>
      <c r="O26" s="24"/>
      <c r="P26" s="24"/>
      <c r="Q26" s="182"/>
      <c r="R26" s="182"/>
      <c r="S26" s="183"/>
    </row>
    <row r="27" spans="1:19" ht="15" customHeight="1">
      <c r="A27" s="192">
        <v>2</v>
      </c>
      <c r="B27" s="193"/>
      <c r="C27" s="386"/>
      <c r="D27" s="369"/>
      <c r="E27" s="369"/>
      <c r="F27" s="369"/>
      <c r="G27" s="193"/>
      <c r="H27" s="193"/>
      <c r="I27" s="193"/>
      <c r="J27" s="193"/>
      <c r="K27" s="171" t="str">
        <f t="shared" ref="K27:K35" si="0">IF(C27="","",IF(IF(L27&lt;6,"NG","OK")="NG","Incomplete",IF(L27&lt;6,"NG","OK")))</f>
        <v/>
      </c>
      <c r="L27" s="180">
        <f>COUNTA($B27:$J27)</f>
        <v>0</v>
      </c>
      <c r="M27" s="171">
        <f>COUNTIF(K26:K35,"ok")</f>
        <v>0</v>
      </c>
      <c r="N27" s="171"/>
      <c r="O27" s="24"/>
      <c r="P27" s="24"/>
      <c r="Q27" s="182"/>
      <c r="R27" s="182"/>
      <c r="S27" s="183"/>
    </row>
    <row r="28" spans="1:19" ht="15" customHeight="1">
      <c r="A28" s="192">
        <v>3</v>
      </c>
      <c r="B28" s="193"/>
      <c r="C28" s="369"/>
      <c r="D28" s="369"/>
      <c r="E28" s="369"/>
      <c r="F28" s="369"/>
      <c r="G28" s="193"/>
      <c r="H28" s="193"/>
      <c r="I28" s="193"/>
      <c r="J28" s="193"/>
      <c r="K28" s="171" t="str">
        <f t="shared" si="0"/>
        <v/>
      </c>
      <c r="L28" s="180">
        <f>COUNTA($B28:$J28)</f>
        <v>0</v>
      </c>
      <c r="M28" s="194" t="str">
        <f>IF(M26=M27,"OK","NG")</f>
        <v>OK</v>
      </c>
      <c r="N28" s="194"/>
      <c r="O28" s="24"/>
      <c r="P28" s="24"/>
      <c r="Q28" s="182"/>
      <c r="R28" s="182"/>
      <c r="S28" s="183"/>
    </row>
    <row r="29" spans="1:19" ht="15" customHeight="1">
      <c r="A29" s="192">
        <v>4</v>
      </c>
      <c r="B29" s="193"/>
      <c r="C29" s="369"/>
      <c r="D29" s="369"/>
      <c r="E29" s="369"/>
      <c r="F29" s="369"/>
      <c r="G29" s="193"/>
      <c r="H29" s="193"/>
      <c r="I29" s="193"/>
      <c r="J29" s="193"/>
      <c r="K29" s="171" t="str">
        <f t="shared" si="0"/>
        <v/>
      </c>
      <c r="L29" s="180">
        <f t="shared" ref="L29:L35" si="1">COUNTA($B29:$J29)</f>
        <v>0</v>
      </c>
      <c r="M29" s="171"/>
      <c r="N29" s="171"/>
      <c r="O29" s="24"/>
      <c r="P29" s="24"/>
      <c r="Q29" s="182"/>
      <c r="R29" s="182"/>
      <c r="S29" s="183"/>
    </row>
    <row r="30" spans="1:19" ht="15" customHeight="1">
      <c r="A30" s="192">
        <v>5</v>
      </c>
      <c r="B30" s="193"/>
      <c r="C30" s="369"/>
      <c r="D30" s="369"/>
      <c r="E30" s="369"/>
      <c r="F30" s="369"/>
      <c r="G30" s="193"/>
      <c r="H30" s="193"/>
      <c r="I30" s="193"/>
      <c r="J30" s="193"/>
      <c r="K30" s="171" t="str">
        <f t="shared" si="0"/>
        <v/>
      </c>
      <c r="L30" s="180">
        <f t="shared" si="1"/>
        <v>0</v>
      </c>
      <c r="M30" s="171"/>
      <c r="N30" s="171"/>
      <c r="O30" s="24"/>
      <c r="P30" s="24"/>
      <c r="Q30" s="182"/>
      <c r="R30" s="182"/>
      <c r="S30" s="183"/>
    </row>
    <row r="31" spans="1:19" ht="15" customHeight="1">
      <c r="A31" s="192">
        <v>6</v>
      </c>
      <c r="B31" s="193"/>
      <c r="C31" s="369"/>
      <c r="D31" s="369"/>
      <c r="E31" s="369"/>
      <c r="F31" s="369"/>
      <c r="G31" s="193"/>
      <c r="H31" s="193"/>
      <c r="I31" s="193"/>
      <c r="J31" s="195"/>
      <c r="K31" s="171" t="str">
        <f t="shared" si="0"/>
        <v/>
      </c>
      <c r="L31" s="180">
        <f t="shared" si="1"/>
        <v>0</v>
      </c>
      <c r="M31" s="171"/>
      <c r="N31" s="171"/>
      <c r="O31" s="24"/>
      <c r="P31" s="24"/>
    </row>
    <row r="32" spans="1:19" ht="15" customHeight="1">
      <c r="A32" s="192">
        <v>7</v>
      </c>
      <c r="B32" s="193"/>
      <c r="C32" s="369"/>
      <c r="D32" s="369"/>
      <c r="E32" s="369"/>
      <c r="F32" s="369"/>
      <c r="G32" s="193"/>
      <c r="H32" s="193"/>
      <c r="I32" s="193"/>
      <c r="J32" s="193"/>
      <c r="K32" s="171" t="str">
        <f t="shared" si="0"/>
        <v/>
      </c>
      <c r="L32" s="180">
        <f t="shared" si="1"/>
        <v>0</v>
      </c>
      <c r="M32" s="171"/>
      <c r="N32" s="171"/>
      <c r="O32" s="24"/>
      <c r="P32" s="24"/>
    </row>
    <row r="33" spans="1:16" ht="15" customHeight="1">
      <c r="A33" s="192">
        <v>8</v>
      </c>
      <c r="B33" s="193"/>
      <c r="C33" s="369"/>
      <c r="D33" s="369"/>
      <c r="E33" s="369"/>
      <c r="F33" s="369"/>
      <c r="G33" s="193"/>
      <c r="H33" s="193"/>
      <c r="I33" s="193"/>
      <c r="J33" s="193"/>
      <c r="K33" s="171" t="str">
        <f t="shared" si="0"/>
        <v/>
      </c>
      <c r="L33" s="180">
        <f t="shared" si="1"/>
        <v>0</v>
      </c>
      <c r="M33" s="171"/>
      <c r="N33" s="171"/>
      <c r="O33" s="24"/>
      <c r="P33" s="24"/>
    </row>
    <row r="34" spans="1:16" ht="15" customHeight="1">
      <c r="A34" s="192">
        <v>9</v>
      </c>
      <c r="B34" s="193"/>
      <c r="C34" s="369"/>
      <c r="D34" s="369"/>
      <c r="E34" s="369"/>
      <c r="F34" s="369"/>
      <c r="G34" s="193"/>
      <c r="H34" s="193"/>
      <c r="I34" s="193"/>
      <c r="J34" s="193"/>
      <c r="K34" s="171" t="str">
        <f t="shared" si="0"/>
        <v/>
      </c>
      <c r="L34" s="180">
        <f t="shared" si="1"/>
        <v>0</v>
      </c>
      <c r="M34" s="171"/>
      <c r="N34" s="171"/>
      <c r="O34" s="24"/>
      <c r="P34" s="24"/>
    </row>
    <row r="35" spans="1:16">
      <c r="A35" s="192">
        <v>10</v>
      </c>
      <c r="B35" s="193"/>
      <c r="C35" s="369"/>
      <c r="D35" s="369"/>
      <c r="E35" s="369"/>
      <c r="F35" s="369"/>
      <c r="G35" s="193"/>
      <c r="H35" s="193"/>
      <c r="I35" s="193"/>
      <c r="J35" s="193"/>
      <c r="K35" s="171" t="str">
        <f t="shared" si="0"/>
        <v/>
      </c>
      <c r="L35" s="180">
        <f t="shared" si="1"/>
        <v>0</v>
      </c>
      <c r="M35" s="171"/>
      <c r="N35" s="171"/>
      <c r="O35" s="24"/>
      <c r="P35" s="24"/>
    </row>
    <row r="36" spans="1:16" ht="16.5" customHeight="1">
      <c r="A36" s="166">
        <v>6</v>
      </c>
      <c r="B36" s="167" t="s">
        <v>22</v>
      </c>
      <c r="C36" s="169"/>
      <c r="D36" s="169"/>
      <c r="E36" s="169"/>
      <c r="F36" s="169"/>
      <c r="G36" s="169"/>
      <c r="H36" s="169"/>
      <c r="I36" s="169"/>
      <c r="J36" s="169"/>
      <c r="K36" s="171"/>
    </row>
    <row r="37" spans="1:16" ht="16.5" customHeight="1">
      <c r="A37" s="184"/>
      <c r="B37" s="388"/>
      <c r="C37" s="388"/>
      <c r="D37" s="388"/>
      <c r="E37" s="388"/>
      <c r="F37" s="388"/>
      <c r="G37" s="388"/>
      <c r="H37" s="388"/>
      <c r="I37" s="388"/>
      <c r="J37" s="388"/>
    </row>
    <row r="38" spans="1:16" ht="16.5" customHeight="1">
      <c r="A38" s="184"/>
      <c r="B38" s="165"/>
      <c r="C38" s="165"/>
      <c r="D38" s="165"/>
      <c r="E38" s="165"/>
      <c r="F38" s="165"/>
      <c r="G38" s="165"/>
      <c r="H38" s="165"/>
      <c r="I38" s="165" t="s">
        <v>52</v>
      </c>
      <c r="J38" s="165"/>
    </row>
    <row r="39" spans="1:16" ht="16.5" customHeight="1">
      <c r="A39" s="196">
        <v>7</v>
      </c>
      <c r="B39" s="197" t="s">
        <v>135</v>
      </c>
      <c r="C39" s="198"/>
      <c r="D39" s="198"/>
      <c r="E39" s="198"/>
      <c r="F39" s="198"/>
      <c r="G39" s="198"/>
      <c r="H39" s="198"/>
      <c r="I39" s="198"/>
      <c r="J39" s="198"/>
      <c r="K39" s="189"/>
    </row>
    <row r="40" spans="1:16" ht="16.5" customHeight="1">
      <c r="A40" s="199"/>
      <c r="B40" s="200"/>
      <c r="C40" s="200"/>
      <c r="D40" s="200"/>
      <c r="E40" s="200"/>
      <c r="F40" s="200"/>
      <c r="G40" s="200"/>
      <c r="H40" s="200"/>
      <c r="I40" s="200"/>
      <c r="J40" s="200"/>
      <c r="K40" s="189"/>
    </row>
    <row r="41" spans="1:16" ht="15">
      <c r="A41" s="199"/>
      <c r="B41" s="200" t="s">
        <v>134</v>
      </c>
      <c r="C41" s="200"/>
      <c r="D41" s="387"/>
      <c r="E41" s="364"/>
      <c r="F41" s="364"/>
      <c r="G41" s="364"/>
      <c r="H41" s="364"/>
      <c r="I41" s="365"/>
      <c r="J41" s="200"/>
      <c r="K41" s="189"/>
    </row>
    <row r="42" spans="1:16">
      <c r="A42" s="199"/>
      <c r="B42" s="200" t="s">
        <v>132</v>
      </c>
      <c r="C42" s="200"/>
      <c r="D42" s="363"/>
      <c r="E42" s="364"/>
      <c r="F42" s="364"/>
      <c r="G42" s="364"/>
      <c r="H42" s="364"/>
      <c r="I42" s="365"/>
      <c r="J42" s="200"/>
      <c r="K42" s="189"/>
    </row>
    <row r="43" spans="1:16">
      <c r="A43" s="199"/>
      <c r="B43" s="200" t="s">
        <v>133</v>
      </c>
      <c r="C43" s="200"/>
      <c r="D43" s="363"/>
      <c r="E43" s="364"/>
      <c r="F43" s="364"/>
      <c r="G43" s="364"/>
      <c r="H43" s="364"/>
      <c r="I43" s="365"/>
      <c r="J43" s="200"/>
      <c r="K43" s="189"/>
    </row>
    <row r="44" spans="1:16" ht="10.5" customHeight="1">
      <c r="A44" s="199"/>
      <c r="B44" s="200"/>
      <c r="C44" s="200"/>
      <c r="D44" s="200"/>
      <c r="E44" s="200"/>
      <c r="F44" s="200"/>
      <c r="G44" s="200"/>
      <c r="H44" s="200"/>
      <c r="I44" s="200"/>
      <c r="J44" s="200"/>
      <c r="K44" s="189"/>
    </row>
    <row r="45" spans="1:16" ht="10.5" customHeight="1"/>
    <row r="46" spans="1:16" ht="10.5" customHeight="1">
      <c r="B46" s="281"/>
    </row>
    <row r="47" spans="1:16" ht="14.25" customHeight="1">
      <c r="B47" s="202"/>
      <c r="C47" s="203"/>
      <c r="D47" s="203"/>
      <c r="E47" s="204"/>
      <c r="F47" s="203"/>
      <c r="G47" s="205"/>
      <c r="H47" s="203"/>
      <c r="I47" s="205"/>
    </row>
    <row r="48" spans="1:16" ht="14.25" customHeight="1">
      <c r="B48" s="206"/>
      <c r="C48" s="207"/>
      <c r="D48" s="208"/>
      <c r="E48" s="209"/>
      <c r="F48" s="207"/>
      <c r="G48" s="208"/>
      <c r="H48" s="209"/>
      <c r="I48" s="208"/>
    </row>
    <row r="49" spans="2:16" ht="14.25" customHeight="1">
      <c r="B49" s="206"/>
      <c r="C49" s="207"/>
      <c r="D49" s="208"/>
      <c r="E49" s="209"/>
      <c r="F49" s="207"/>
      <c r="G49" s="208"/>
      <c r="H49" s="207"/>
      <c r="I49" s="208"/>
    </row>
    <row r="50" spans="2:16" ht="18.75" customHeight="1">
      <c r="B50" s="347"/>
      <c r="C50" s="349"/>
      <c r="D50" s="351"/>
      <c r="E50" s="349"/>
      <c r="F50" s="350"/>
      <c r="G50" s="351"/>
      <c r="H50" s="348"/>
      <c r="I50" s="212"/>
    </row>
    <row r="51" spans="2:16">
      <c r="B51" s="217" t="s">
        <v>217</v>
      </c>
      <c r="C51" s="359" t="s">
        <v>215</v>
      </c>
      <c r="D51" s="360"/>
      <c r="E51" s="359" t="s">
        <v>216</v>
      </c>
      <c r="F51" s="380"/>
      <c r="G51" s="360"/>
      <c r="H51" s="359" t="s">
        <v>218</v>
      </c>
      <c r="I51" s="360"/>
    </row>
    <row r="52" spans="2:16">
      <c r="P52" s="338"/>
    </row>
    <row r="53" spans="2:16">
      <c r="B53" s="213" t="s">
        <v>219</v>
      </c>
      <c r="F53" s="207"/>
      <c r="G53" s="207"/>
      <c r="H53" s="336" t="s">
        <v>242</v>
      </c>
      <c r="I53" s="207"/>
    </row>
    <row r="54" spans="2:16" ht="15.75" customHeight="1">
      <c r="B54" s="214" t="s">
        <v>220</v>
      </c>
      <c r="C54" s="246"/>
      <c r="D54" s="247"/>
      <c r="E54" s="207"/>
      <c r="F54" s="207"/>
      <c r="G54" s="207"/>
      <c r="H54" s="214" t="s">
        <v>239</v>
      </c>
      <c r="I54" s="245"/>
    </row>
    <row r="55" spans="2:16" ht="6.75" customHeight="1">
      <c r="B55" s="207"/>
      <c r="C55" s="207"/>
      <c r="D55" s="207"/>
      <c r="E55" s="207"/>
      <c r="F55" s="207"/>
      <c r="G55" s="207"/>
      <c r="H55" s="214"/>
      <c r="I55" s="207"/>
    </row>
    <row r="56" spans="2:16" ht="16.5" customHeight="1">
      <c r="B56" s="202"/>
      <c r="C56" s="203"/>
      <c r="D56" s="205"/>
      <c r="E56" s="209"/>
      <c r="F56" s="207"/>
      <c r="G56" s="207"/>
      <c r="H56" s="214" t="s">
        <v>240</v>
      </c>
      <c r="I56" s="245"/>
    </row>
    <row r="57" spans="2:16" ht="16.5" customHeight="1">
      <c r="B57" s="206"/>
      <c r="C57" s="207"/>
      <c r="D57" s="208"/>
      <c r="E57" s="209"/>
      <c r="F57" s="207"/>
      <c r="G57" s="207"/>
      <c r="H57" s="214" t="s">
        <v>241</v>
      </c>
      <c r="I57" s="245"/>
    </row>
    <row r="58" spans="2:16" ht="16.5" customHeight="1">
      <c r="B58" s="206"/>
      <c r="C58" s="207"/>
      <c r="D58" s="208"/>
      <c r="E58" s="215"/>
      <c r="F58" s="214"/>
      <c r="G58" s="214"/>
      <c r="H58" s="214"/>
      <c r="I58" s="214"/>
    </row>
    <row r="59" spans="2:16" ht="16.5" customHeight="1">
      <c r="B59" s="210"/>
      <c r="C59" s="211"/>
      <c r="D59" s="212"/>
      <c r="E59" s="207"/>
      <c r="F59" s="207"/>
      <c r="G59" s="207"/>
      <c r="H59" s="207"/>
      <c r="I59" s="207"/>
    </row>
    <row r="60" spans="2:16">
      <c r="B60" s="217" t="s">
        <v>215</v>
      </c>
      <c r="C60" s="359" t="s">
        <v>216</v>
      </c>
      <c r="D60" s="360"/>
      <c r="F60" s="207"/>
      <c r="J60" s="333"/>
    </row>
    <row r="63" spans="2:16">
      <c r="H63" s="280"/>
    </row>
  </sheetData>
  <sheetProtection algorithmName="SHA-512" hashValue="pBxf5tu7lQqhIhTH111iSdKTS5U6UGGbLBSIkb7V+/+uBx4mHebQkY7U3sIIdjghkKDbiAyoGYvSLKgfZtpnqg==" saltValue="UYJLWI8A3Bw4HLOfAyp0jQ==" spinCount="100000" sheet="1" objects="1" scenarios="1"/>
  <protectedRanges>
    <protectedRange sqref="B2 C4:C5 H4 B8 B10 B12:F14 H8 H10 H12 H14 B17 B19 B21:F23 H17 H19 H21 H23 B26:J35 B37 D41:I43 B47:I50 C54:D54 B56:D59 K25:M35 K1:L1 M1:M4 K3:K4" name="Range1"/>
  </protectedRanges>
  <customSheetViews>
    <customSheetView guid="{B917A2D9-9544-4879-AB10-D367CD87C30A}" scale="106" showPageBreaks="1" showGridLines="0" fitToPage="1" printArea="1" hiddenColumns="1" state="hidden" view="pageBreakPreview" topLeftCell="A34">
      <selection activeCell="J16" sqref="J16"/>
      <pageMargins left="0.25" right="0.25" top="0.25" bottom="0.25" header="0.3" footer="0.3"/>
      <printOptions horizontalCentered="1"/>
      <pageSetup paperSize="9" scale="86" fitToHeight="0" orientation="portrait" horizontalDpi="300" verticalDpi="300" r:id="rId1"/>
      <headerFooter>
        <oddFooter>&amp;RREC0303-001-14</oddFooter>
      </headerFooter>
    </customSheetView>
  </customSheetViews>
  <mergeCells count="42">
    <mergeCell ref="C60:D60"/>
    <mergeCell ref="D43:I43"/>
    <mergeCell ref="D42:I42"/>
    <mergeCell ref="C32:F32"/>
    <mergeCell ref="C33:F33"/>
    <mergeCell ref="C34:F34"/>
    <mergeCell ref="C35:F35"/>
    <mergeCell ref="B37:J37"/>
    <mergeCell ref="E51:G51"/>
    <mergeCell ref="C51:D51"/>
    <mergeCell ref="H51:I51"/>
    <mergeCell ref="C50:D50"/>
    <mergeCell ref="E50:G50"/>
    <mergeCell ref="C28:F28"/>
    <mergeCell ref="C29:F29"/>
    <mergeCell ref="C30:F30"/>
    <mergeCell ref="C31:F31"/>
    <mergeCell ref="D41:I41"/>
    <mergeCell ref="B23:F23"/>
    <mergeCell ref="H23:I23"/>
    <mergeCell ref="C25:F25"/>
    <mergeCell ref="C26:F26"/>
    <mergeCell ref="C27:F27"/>
    <mergeCell ref="B19:F19"/>
    <mergeCell ref="H19:I19"/>
    <mergeCell ref="B21:F21"/>
    <mergeCell ref="H21:I21"/>
    <mergeCell ref="B22:F22"/>
    <mergeCell ref="B17:F17"/>
    <mergeCell ref="H17:I17"/>
    <mergeCell ref="I2:J2"/>
    <mergeCell ref="B13:F13"/>
    <mergeCell ref="B14:F14"/>
    <mergeCell ref="H14:I14"/>
    <mergeCell ref="H4:I4"/>
    <mergeCell ref="B8:F8"/>
    <mergeCell ref="H8:I8"/>
    <mergeCell ref="B10:F10"/>
    <mergeCell ref="H10:I10"/>
    <mergeCell ref="B12:F12"/>
    <mergeCell ref="H12:I12"/>
    <mergeCell ref="D5:G5"/>
  </mergeCells>
  <phoneticPr fontId="39"/>
  <conditionalFormatting sqref="A16:J23 H4">
    <cfRule type="expression" dxfId="1" priority="4">
      <formula>$C$4="shipper"</formula>
    </cfRule>
  </conditionalFormatting>
  <conditionalFormatting sqref="A16:J23">
    <cfRule type="expression" dxfId="0" priority="3">
      <formula>$C$4="receiver"</formula>
    </cfRule>
  </conditionalFormatting>
  <dataValidations count="8">
    <dataValidation type="list" allowBlank="1" showInputMessage="1" showErrorMessage="1" prompt="Select courier company" sqref="B2" xr:uid="{00000000-0002-0000-0200-000000000000}">
      <formula1>"DHL,FEDEX,OCS"</formula1>
    </dataValidation>
    <dataValidation type="list" allowBlank="1" showInputMessage="1" showErrorMessage="1" sqref="C4" xr:uid="{00000000-0002-0000-0200-000001000000}">
      <formula1>"Shipper,Receiver,3rd Party"</formula1>
    </dataValidation>
    <dataValidation type="list" allowBlank="1" showInputMessage="1" showErrorMessage="1" sqref="C5" xr:uid="{00000000-0002-0000-0200-000002000000}">
      <formula1>"DDU,EXW,DDP"</formula1>
    </dataValidation>
    <dataValidation allowBlank="1" showInputMessage="1" showErrorMessage="1" prompt="No. of Pieces" sqref="G26:G35" xr:uid="{00000000-0002-0000-0200-000003000000}"/>
    <dataValidation allowBlank="1" showInputMessage="1" showErrorMessage="1" prompt="Input country where item was made/originated" sqref="J26:J35" xr:uid="{00000000-0002-0000-0200-000004000000}"/>
    <dataValidation allowBlank="1" showInputMessage="1" showErrorMessage="1" prompt="in Kilogram (kgs)" sqref="I26:I35" xr:uid="{00000000-0002-0000-0200-000005000000}"/>
    <dataValidation allowBlank="1" showInputMessage="1" showErrorMessage="1" prompt="Unit of Measure" sqref="H25:H35" xr:uid="{00000000-0002-0000-0200-000006000000}"/>
    <dataValidation allowBlank="1" showInputMessage="1" showErrorMessage="1" prompt="If not applicable_x000a_input N/A" sqref="B26:B35" xr:uid="{00000000-0002-0000-0200-000007000000}"/>
  </dataValidations>
  <printOptions horizontalCentered="1"/>
  <pageMargins left="0.23622047244094491" right="0.23622047244094491" top="0.74803149606299213" bottom="0.23622047244094491" header="0.31496062992125984" footer="0.31496062992125984"/>
  <pageSetup paperSize="9" scale="86" fitToHeight="0" orientation="portrait" horizontalDpi="300" verticalDpi="300" r:id="rId2"/>
  <headerFooter>
    <oddHeader>&amp;L&amp;"-,Bold"&amp;24Outbound Request Form</oddHeader>
    <oddFooter>&amp;LBROTHER INDUSTRIES (PHILIPPINES), INC.&amp;RREC0303-001-15</oddFooter>
  </headerFooter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C34A1A-E88D-4A8B-BEED-DD4221B7F26B}">
          <x14:formula1>
            <xm:f>REF!$H$2:$H$27</xm:f>
          </x14:formula1>
          <xm:sqref>D42:I42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2E0DD-841F-4ECA-9236-D03C1558902B}">
  <sheetPr codeName="Sheet3">
    <pageSetUpPr fitToPage="1"/>
  </sheetPr>
  <dimension ref="A1:Y20"/>
  <sheetViews>
    <sheetView showGridLines="0" view="pageBreakPreview" topLeftCell="A4" zoomScale="70" zoomScaleNormal="80" zoomScaleSheetLayoutView="70" workbookViewId="0">
      <selection activeCell="G6" sqref="G6"/>
    </sheetView>
  </sheetViews>
  <sheetFormatPr defaultColWidth="9.140625" defaultRowHeight="34.5"/>
  <cols>
    <col min="1" max="1" width="33" style="264" customWidth="1"/>
    <col min="2" max="2" width="34.42578125" style="250" bestFit="1" customWidth="1"/>
    <col min="3" max="3" width="19.85546875" style="250" bestFit="1" customWidth="1"/>
    <col min="4" max="4" width="11.7109375" style="250" customWidth="1"/>
    <col min="5" max="5" width="9.140625" style="250"/>
    <col min="6" max="6" width="13.5703125" style="250" customWidth="1"/>
    <col min="7" max="7" width="14.7109375" style="250" customWidth="1"/>
    <col min="8" max="8" width="3.5703125" style="250" bestFit="1" customWidth="1"/>
    <col min="9" max="9" width="8.7109375" style="250" customWidth="1"/>
    <col min="10" max="10" width="26" style="250" customWidth="1"/>
    <col min="11" max="11" width="3.7109375" style="250" customWidth="1"/>
    <col min="12" max="12" width="9.140625" style="250"/>
    <col min="13" max="13" width="9.42578125" style="250" customWidth="1"/>
    <col min="14" max="14" width="44.7109375" style="250" customWidth="1"/>
    <col min="15" max="15" width="9.140625" style="250"/>
    <col min="16" max="16" width="23.7109375" style="250" bestFit="1" customWidth="1"/>
    <col min="17" max="17" width="30" style="250" customWidth="1"/>
    <col min="18" max="18" width="24.28515625" style="253" bestFit="1" customWidth="1"/>
    <col min="19" max="19" width="9.140625" style="250"/>
    <col min="20" max="24" width="0" style="250" hidden="1" customWidth="1"/>
    <col min="25" max="25" width="17.85546875" style="250" hidden="1" customWidth="1"/>
    <col min="26" max="26" width="9.140625" style="250"/>
    <col min="27" max="27" width="9.42578125" style="250" customWidth="1"/>
    <col min="28" max="28" width="8" style="250" customWidth="1"/>
    <col min="29" max="16384" width="9.140625" style="250"/>
  </cols>
  <sheetData>
    <row r="1" spans="1:18" ht="52.5" customHeight="1">
      <c r="A1" s="389" t="s">
        <v>221</v>
      </c>
      <c r="B1" s="390"/>
      <c r="C1" s="390"/>
      <c r="D1" s="390"/>
      <c r="E1" s="390"/>
      <c r="F1" s="390"/>
      <c r="G1" s="275">
        <v>1</v>
      </c>
      <c r="H1" s="276" t="s">
        <v>222</v>
      </c>
      <c r="I1" s="277">
        <v>1</v>
      </c>
      <c r="J1" s="278">
        <f>CARGO!$J$31</f>
        <v>0</v>
      </c>
      <c r="M1" s="251"/>
      <c r="N1" s="320">
        <f>CARGO!$J$26</f>
        <v>0</v>
      </c>
      <c r="O1" s="252"/>
      <c r="P1" s="251"/>
      <c r="Q1" s="251"/>
    </row>
    <row r="2" spans="1:18" s="252" customFormat="1" ht="26.25" customHeight="1">
      <c r="A2" s="398" t="s">
        <v>225</v>
      </c>
      <c r="B2" s="303" t="str">
        <f>IF(ISBLANK(CARGO!N3),"",CARGO!N3)</f>
        <v/>
      </c>
      <c r="C2" s="305"/>
      <c r="D2" s="254"/>
      <c r="E2" s="254"/>
      <c r="F2" s="289"/>
      <c r="G2" s="255"/>
      <c r="H2" s="256"/>
      <c r="I2" s="255"/>
      <c r="J2" s="270"/>
      <c r="M2" s="251"/>
      <c r="N2" s="251"/>
      <c r="P2" s="251"/>
      <c r="Q2" s="257"/>
      <c r="R2" s="269"/>
    </row>
    <row r="3" spans="1:18" s="252" customFormat="1" ht="26.25" customHeight="1">
      <c r="A3" s="399"/>
      <c r="B3" s="303" t="str">
        <f>IF(ISBLANK(CARGO!N4),"",CARGO!N4)</f>
        <v/>
      </c>
      <c r="C3" s="254"/>
      <c r="D3" s="254"/>
      <c r="E3" s="254"/>
      <c r="F3" s="289"/>
      <c r="G3" s="255"/>
      <c r="H3" s="256"/>
      <c r="I3" s="255"/>
      <c r="J3" s="270"/>
      <c r="M3" s="251"/>
      <c r="N3" s="251"/>
      <c r="P3" s="251"/>
      <c r="Q3" s="257"/>
      <c r="R3" s="269"/>
    </row>
    <row r="4" spans="1:18" s="252" customFormat="1" ht="26.25" customHeight="1">
      <c r="A4" s="399"/>
      <c r="B4" s="303" t="str">
        <f>IF(ISBLANK(CARGO!N5),"",CARGO!N5)</f>
        <v/>
      </c>
      <c r="C4" s="254"/>
      <c r="D4" s="254"/>
      <c r="E4" s="254"/>
      <c r="F4" s="289"/>
      <c r="G4" s="255"/>
      <c r="H4" s="256"/>
      <c r="I4" s="255"/>
      <c r="J4" s="270"/>
      <c r="M4" s="251"/>
      <c r="N4" s="251"/>
      <c r="P4" s="251"/>
      <c r="Q4" s="257"/>
      <c r="R4" s="269"/>
    </row>
    <row r="5" spans="1:18" s="252" customFormat="1" ht="21.75" customHeight="1">
      <c r="A5" s="399"/>
      <c r="B5" s="303" t="str">
        <f>IF(ISBLANK(CARGO!N6),"",CARGO!N6)</f>
        <v/>
      </c>
      <c r="C5" s="254"/>
      <c r="D5" s="397"/>
      <c r="E5" s="397"/>
      <c r="F5" s="397"/>
      <c r="G5" s="397"/>
      <c r="H5" s="256" t="str">
        <f>IF(OR($V$4="RECEIVER359 954 794",$V$4="RECEIVER642 289 568",$V$4="3RD PARTY359 954 794",$V$4="3RD PARTY642 289 568"),"Please input correct account number.","")</f>
        <v/>
      </c>
      <c r="I5" s="255"/>
      <c r="J5" s="270"/>
      <c r="M5" s="251"/>
      <c r="N5" s="251"/>
      <c r="P5" s="251"/>
      <c r="Q5" s="257"/>
      <c r="R5" s="269"/>
    </row>
    <row r="6" spans="1:18" s="252" customFormat="1" ht="26.25" customHeight="1">
      <c r="A6" s="399"/>
      <c r="B6" s="303" t="str">
        <f>IF(ISBLANK(CARGO!N7),"",CARGO!N7)</f>
        <v/>
      </c>
      <c r="C6" s="254"/>
      <c r="D6" s="254"/>
      <c r="E6" s="254"/>
      <c r="F6" s="289"/>
      <c r="G6" s="255"/>
      <c r="H6" s="256"/>
      <c r="I6" s="255"/>
      <c r="J6" s="270"/>
      <c r="M6" s="251"/>
      <c r="N6" s="251"/>
      <c r="P6" s="251"/>
      <c r="Q6" s="257"/>
      <c r="R6" s="269"/>
    </row>
    <row r="7" spans="1:18" s="252" customFormat="1" ht="26.25" customHeight="1">
      <c r="A7" s="399"/>
      <c r="B7" s="303" t="str">
        <f>IF(ISBLANK(CARGO!N8),"",CARGO!N8)</f>
        <v/>
      </c>
      <c r="C7" s="254"/>
      <c r="D7" s="254"/>
      <c r="E7" s="254"/>
      <c r="F7" s="289"/>
      <c r="G7" s="255"/>
      <c r="H7" s="256"/>
      <c r="I7" s="255"/>
      <c r="J7" s="270"/>
      <c r="M7" s="251"/>
      <c r="N7" s="251"/>
      <c r="P7" s="251"/>
      <c r="Q7" s="257"/>
      <c r="R7" s="269"/>
    </row>
    <row r="8" spans="1:18" s="252" customFormat="1" ht="26.25" customHeight="1">
      <c r="A8" s="399"/>
      <c r="B8" s="303" t="str">
        <f>IF(ISBLANK(CARGO!N9),"",CARGO!N9)</f>
        <v/>
      </c>
      <c r="C8" s="254"/>
      <c r="D8" s="254"/>
      <c r="E8" s="254"/>
      <c r="F8" s="289"/>
      <c r="G8" s="255"/>
      <c r="H8" s="256"/>
      <c r="I8" s="255"/>
      <c r="J8" s="270"/>
      <c r="M8" s="251"/>
      <c r="N8" s="251"/>
      <c r="P8" s="251"/>
      <c r="Q8" s="257"/>
      <c r="R8" s="269"/>
    </row>
    <row r="9" spans="1:18" s="252" customFormat="1" ht="26.25" customHeight="1">
      <c r="A9" s="399"/>
      <c r="B9" s="303" t="str">
        <f>IF(ISBLANK(CARGO!N10),"",CARGO!N10)</f>
        <v/>
      </c>
      <c r="C9" s="254"/>
      <c r="D9" s="254"/>
      <c r="E9" s="254"/>
      <c r="F9" s="289"/>
      <c r="G9" s="255"/>
      <c r="H9" s="256"/>
      <c r="I9" s="255"/>
      <c r="J9" s="270"/>
      <c r="M9" s="251"/>
      <c r="N9" s="251"/>
      <c r="P9" s="251"/>
      <c r="Q9" s="257"/>
      <c r="R9" s="269"/>
    </row>
    <row r="10" spans="1:18" s="252" customFormat="1" ht="25.5" customHeight="1" thickBot="1">
      <c r="A10" s="400"/>
      <c r="B10" s="303" t="str">
        <f>IF(ISBLANK(CARGO!N11),"",CARGO!N11)</f>
        <v/>
      </c>
      <c r="C10" s="289"/>
      <c r="D10" s="289"/>
      <c r="E10" s="289"/>
      <c r="F10" s="254"/>
      <c r="G10" s="254"/>
      <c r="H10" s="258"/>
      <c r="I10" s="254"/>
      <c r="J10" s="271"/>
      <c r="M10" s="251"/>
      <c r="N10" s="251"/>
      <c r="R10" s="269"/>
    </row>
    <row r="11" spans="1:18" ht="10.5" customHeight="1">
      <c r="A11" s="272"/>
      <c r="B11" s="259"/>
      <c r="C11" s="259"/>
      <c r="D11" s="259"/>
      <c r="E11" s="259"/>
      <c r="F11" s="259"/>
      <c r="G11" s="260"/>
      <c r="H11" s="260"/>
      <c r="I11" s="261"/>
      <c r="J11" s="273"/>
      <c r="R11" s="262"/>
    </row>
    <row r="12" spans="1:18" ht="32.25" customHeight="1">
      <c r="A12" s="398" t="s">
        <v>223</v>
      </c>
      <c r="B12" s="391" t="str">
        <f>IF(ISBLANK(CARGO!B8),"",CARGO!B8)</f>
        <v/>
      </c>
      <c r="C12" s="392"/>
      <c r="D12" s="392"/>
      <c r="E12" s="392"/>
      <c r="F12" s="392"/>
      <c r="G12" s="392"/>
      <c r="H12" s="392"/>
      <c r="I12" s="392"/>
      <c r="J12" s="393"/>
      <c r="R12" s="262"/>
    </row>
    <row r="13" spans="1:18" ht="32.25" customHeight="1">
      <c r="A13" s="399"/>
      <c r="B13" s="391" t="str">
        <f>IF(ISBLANK(CARGO!B10),"",CARGO!B10)</f>
        <v/>
      </c>
      <c r="C13" s="392"/>
      <c r="D13" s="392"/>
      <c r="E13" s="392"/>
      <c r="F13" s="392"/>
      <c r="G13" s="392"/>
      <c r="H13" s="392"/>
      <c r="I13" s="392"/>
      <c r="J13" s="393"/>
      <c r="N13" s="267"/>
      <c r="R13" s="262"/>
    </row>
    <row r="14" spans="1:18" ht="32.25" customHeight="1">
      <c r="A14" s="399"/>
      <c r="B14" s="391" t="str">
        <f>IF(ISBLANK(CARGO!B12),"",CARGO!B12)</f>
        <v/>
      </c>
      <c r="C14" s="392"/>
      <c r="D14" s="392"/>
      <c r="E14" s="392"/>
      <c r="F14" s="392"/>
      <c r="G14" s="392"/>
      <c r="H14" s="392"/>
      <c r="I14" s="392"/>
      <c r="J14" s="393"/>
      <c r="N14" s="267"/>
      <c r="R14" s="262"/>
    </row>
    <row r="15" spans="1:18" ht="32.25" customHeight="1">
      <c r="A15" s="399"/>
      <c r="B15" s="391" t="str">
        <f>IF(ISBLANK(CARGO!B13),"",CARGO!B13)</f>
        <v/>
      </c>
      <c r="C15" s="392"/>
      <c r="D15" s="392"/>
      <c r="E15" s="392"/>
      <c r="F15" s="392"/>
      <c r="G15" s="392"/>
      <c r="H15" s="392"/>
      <c r="I15" s="392"/>
      <c r="J15" s="393"/>
      <c r="N15" s="265"/>
      <c r="R15" s="262"/>
    </row>
    <row r="16" spans="1:18" ht="32.25" customHeight="1">
      <c r="A16" s="400"/>
      <c r="B16" s="391" t="str">
        <f>IF(ISBLANK(CARGO!B14),"",CARGO!B14)</f>
        <v/>
      </c>
      <c r="C16" s="392"/>
      <c r="D16" s="392"/>
      <c r="E16" s="392"/>
      <c r="F16" s="392"/>
      <c r="G16" s="392"/>
      <c r="H16" s="392"/>
      <c r="I16" s="392"/>
      <c r="J16" s="393"/>
      <c r="N16" s="265"/>
      <c r="R16" s="262"/>
    </row>
    <row r="17" spans="1:25" ht="39" customHeight="1">
      <c r="A17" s="288" t="s">
        <v>226</v>
      </c>
      <c r="B17" s="394" t="str">
        <f>IF(ISBLANK(CARGO!H14),"",CARGO!H14)</f>
        <v/>
      </c>
      <c r="C17" s="395"/>
      <c r="D17" s="395"/>
      <c r="E17" s="395"/>
      <c r="F17" s="395"/>
      <c r="G17" s="395"/>
      <c r="H17" s="395"/>
      <c r="I17" s="395"/>
      <c r="J17" s="396"/>
      <c r="N17" s="265"/>
      <c r="R17" s="262"/>
    </row>
    <row r="18" spans="1:25" ht="39" customHeight="1">
      <c r="A18" s="288" t="s">
        <v>228</v>
      </c>
      <c r="B18" s="394" t="str">
        <f>IF(ISBLANK(CARGO!H12),"",CARGO!H12)</f>
        <v/>
      </c>
      <c r="C18" s="395"/>
      <c r="D18" s="395"/>
      <c r="E18" s="395"/>
      <c r="F18" s="395"/>
      <c r="G18" s="395"/>
      <c r="H18" s="395"/>
      <c r="I18" s="395"/>
      <c r="J18" s="396"/>
      <c r="N18" s="265"/>
      <c r="R18" s="262"/>
    </row>
    <row r="19" spans="1:25" ht="90" customHeight="1">
      <c r="A19" s="298" t="s">
        <v>227</v>
      </c>
      <c r="B19" s="394" t="s">
        <v>224</v>
      </c>
      <c r="C19" s="395"/>
      <c r="D19" s="395"/>
      <c r="E19" s="395"/>
      <c r="F19" s="395"/>
      <c r="G19" s="395"/>
      <c r="H19" s="395"/>
      <c r="I19" s="395"/>
      <c r="J19" s="396"/>
      <c r="Y19" s="263"/>
    </row>
    <row r="20" spans="1:25" ht="35.25" thickBot="1">
      <c r="A20" s="299" t="s">
        <v>234</v>
      </c>
      <c r="B20" s="300" t="str">
        <f>IF(ISBLANK(CARGO!Q42),"",CARGO!Q42)</f>
        <v/>
      </c>
      <c r="C20" s="301"/>
      <c r="D20" s="301"/>
      <c r="E20" s="301"/>
      <c r="F20" s="301"/>
      <c r="G20" s="301"/>
      <c r="H20" s="301"/>
      <c r="I20" s="301"/>
      <c r="J20" s="302"/>
    </row>
  </sheetData>
  <customSheetViews>
    <customSheetView guid="{B917A2D9-9544-4879-AB10-D367CD87C30A}" scale="70" showPageBreaks="1" showGridLines="0" fitToPage="1" printArea="1" hiddenColumns="1" view="pageBreakPreview">
      <selection activeCell="N2" sqref="N2"/>
      <pageMargins left="0.45" right="0.45" top="0.5" bottom="0.5" header="0.3" footer="0.3"/>
      <pageSetup scale="55" pageOrder="overThenDown" orientation="portrait" horizontalDpi="200" verticalDpi="200" r:id="rId1"/>
    </customSheetView>
  </customSheetViews>
  <mergeCells count="12">
    <mergeCell ref="A1:F1"/>
    <mergeCell ref="B12:J12"/>
    <mergeCell ref="B15:J15"/>
    <mergeCell ref="B19:J19"/>
    <mergeCell ref="B13:J13"/>
    <mergeCell ref="B14:J14"/>
    <mergeCell ref="B17:J17"/>
    <mergeCell ref="B18:J18"/>
    <mergeCell ref="D5:G5"/>
    <mergeCell ref="A12:A16"/>
    <mergeCell ref="B16:J16"/>
    <mergeCell ref="A2:A10"/>
  </mergeCells>
  <phoneticPr fontId="39"/>
  <pageMargins left="0.45" right="0.45" top="0.5" bottom="0.5" header="0.3" footer="0.3"/>
  <pageSetup scale="55" pageOrder="overThenDown" orientation="portrait" horizontalDpi="200" verticalDpi="2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2906-0AB8-4DE9-806B-D8371B40E905}">
  <sheetPr codeName="Sheet7">
    <tabColor theme="0"/>
    <pageSetUpPr fitToPage="1"/>
  </sheetPr>
  <dimension ref="A1:Y12"/>
  <sheetViews>
    <sheetView showGridLines="0" view="pageBreakPreview" zoomScale="70" zoomScaleNormal="80" zoomScaleSheetLayoutView="70" workbookViewId="0">
      <selection activeCell="C27" sqref="C27:F27"/>
    </sheetView>
  </sheetViews>
  <sheetFormatPr defaultColWidth="9.140625" defaultRowHeight="34.5"/>
  <cols>
    <col min="1" max="1" width="33" style="264" customWidth="1"/>
    <col min="2" max="2" width="34.42578125" style="250" bestFit="1" customWidth="1"/>
    <col min="3" max="3" width="19.85546875" style="250" bestFit="1" customWidth="1"/>
    <col min="4" max="4" width="11.7109375" style="250" customWidth="1"/>
    <col min="5" max="5" width="9.140625" style="250"/>
    <col min="6" max="6" width="13.5703125" style="250" customWidth="1"/>
    <col min="7" max="7" width="14.7109375" style="250" customWidth="1"/>
    <col min="8" max="8" width="3.5703125" style="250" bestFit="1" customWidth="1"/>
    <col min="9" max="9" width="8.7109375" style="250" customWidth="1"/>
    <col min="10" max="10" width="26" style="250" customWidth="1"/>
    <col min="11" max="11" width="3.7109375" style="250" customWidth="1"/>
    <col min="12" max="12" width="9.140625" style="250"/>
    <col min="13" max="13" width="9.42578125" style="250" customWidth="1"/>
    <col min="14" max="14" width="44.7109375" style="250" hidden="1" customWidth="1"/>
    <col min="15" max="15" width="9.140625" style="250"/>
    <col min="16" max="16" width="23.7109375" style="250" bestFit="1" customWidth="1"/>
    <col min="17" max="17" width="30" style="250" customWidth="1"/>
    <col min="18" max="18" width="24.28515625" style="253" bestFit="1" customWidth="1"/>
    <col min="19" max="24" width="9.140625" style="250"/>
    <col min="25" max="25" width="17.85546875" style="250" bestFit="1" customWidth="1"/>
    <col min="26" max="16384" width="9.140625" style="250"/>
  </cols>
  <sheetData>
    <row r="1" spans="1:25" ht="52.5" customHeight="1">
      <c r="A1" s="389" t="s">
        <v>221</v>
      </c>
      <c r="B1" s="390"/>
      <c r="C1" s="390"/>
      <c r="D1" s="390"/>
      <c r="E1" s="390"/>
      <c r="F1" s="390"/>
      <c r="G1" s="275">
        <v>1</v>
      </c>
      <c r="H1" s="276" t="s">
        <v>222</v>
      </c>
      <c r="I1" s="277">
        <v>1</v>
      </c>
      <c r="J1" s="278" t="s">
        <v>229</v>
      </c>
      <c r="M1" s="251"/>
      <c r="N1" s="266">
        <f>CARGO!$J$26</f>
        <v>0</v>
      </c>
      <c r="O1" s="252"/>
      <c r="P1" s="251"/>
      <c r="Q1" s="251"/>
    </row>
    <row r="2" spans="1:25" s="252" customFormat="1" ht="65.25" customHeight="1">
      <c r="A2" s="398" t="s">
        <v>225</v>
      </c>
      <c r="B2" s="268">
        <f>DOCS!C26</f>
        <v>0</v>
      </c>
      <c r="C2" s="254"/>
      <c r="D2" s="254"/>
      <c r="E2" s="254"/>
      <c r="F2" s="308"/>
      <c r="G2" s="255"/>
      <c r="H2" s="256"/>
      <c r="I2" s="255"/>
      <c r="J2" s="270"/>
      <c r="M2" s="251"/>
      <c r="N2" s="251"/>
      <c r="P2" s="251"/>
      <c r="Q2" s="257"/>
      <c r="R2" s="269"/>
    </row>
    <row r="3" spans="1:25" s="252" customFormat="1" ht="65.25" customHeight="1" thickBot="1">
      <c r="A3" s="400"/>
      <c r="B3" s="268" t="str">
        <f>IF(ISBLANK(DOCS!C27),"",DOCS!C27)</f>
        <v/>
      </c>
      <c r="C3" s="308"/>
      <c r="D3" s="308"/>
      <c r="E3" s="308"/>
      <c r="F3" s="254"/>
      <c r="G3" s="254"/>
      <c r="H3" s="258"/>
      <c r="I3" s="254"/>
      <c r="J3" s="271"/>
      <c r="M3" s="251"/>
      <c r="N3" s="251"/>
      <c r="R3" s="269"/>
    </row>
    <row r="4" spans="1:25" ht="9.75" customHeight="1">
      <c r="A4" s="272"/>
      <c r="B4" s="259"/>
      <c r="C4" s="259"/>
      <c r="D4" s="259"/>
      <c r="E4" s="259"/>
      <c r="F4" s="259"/>
      <c r="G4" s="260"/>
      <c r="H4" s="260"/>
      <c r="I4" s="261"/>
      <c r="J4" s="273"/>
      <c r="R4" s="262"/>
    </row>
    <row r="5" spans="1:25" ht="48.75" customHeight="1">
      <c r="A5" s="398" t="s">
        <v>223</v>
      </c>
      <c r="B5" s="391" t="str">
        <f>IF(ISBLANK(DOCS!B8),"",DOCS!B8)</f>
        <v/>
      </c>
      <c r="C5" s="392"/>
      <c r="D5" s="392"/>
      <c r="E5" s="392"/>
      <c r="F5" s="392"/>
      <c r="G5" s="392"/>
      <c r="H5" s="392"/>
      <c r="I5" s="392"/>
      <c r="J5" s="393"/>
      <c r="R5" s="262"/>
    </row>
    <row r="6" spans="1:25" ht="48.75" customHeight="1">
      <c r="A6" s="399"/>
      <c r="B6" s="391" t="str">
        <f>IF(ISBLANK(DOCS!B12),"",DOCS!B12)</f>
        <v/>
      </c>
      <c r="C6" s="392"/>
      <c r="D6" s="392"/>
      <c r="E6" s="392"/>
      <c r="F6" s="392"/>
      <c r="G6" s="392"/>
      <c r="H6" s="392"/>
      <c r="I6" s="392"/>
      <c r="J6" s="393"/>
      <c r="N6" s="267"/>
      <c r="R6" s="262"/>
    </row>
    <row r="7" spans="1:25" ht="48.75" customHeight="1">
      <c r="A7" s="399"/>
      <c r="B7" s="394" t="str">
        <f>IF(ISBLANK(DOCS!B13),"",DOCS!B13)</f>
        <v/>
      </c>
      <c r="C7" s="395"/>
      <c r="D7" s="395"/>
      <c r="E7" s="395"/>
      <c r="F7" s="395"/>
      <c r="G7" s="395"/>
      <c r="H7" s="395"/>
      <c r="I7" s="395"/>
      <c r="J7" s="396"/>
      <c r="N7" s="267"/>
      <c r="R7" s="262"/>
    </row>
    <row r="8" spans="1:25" ht="48.75" customHeight="1">
      <c r="A8" s="400"/>
      <c r="B8" s="394" t="str">
        <f>IF(ISBLANK(DOCS!B14),"",DOCS!B14)</f>
        <v/>
      </c>
      <c r="C8" s="395"/>
      <c r="D8" s="395"/>
      <c r="E8" s="395"/>
      <c r="F8" s="395"/>
      <c r="G8" s="395"/>
      <c r="H8" s="395"/>
      <c r="I8" s="395"/>
      <c r="J8" s="396"/>
      <c r="N8" s="265"/>
      <c r="R8" s="262"/>
    </row>
    <row r="9" spans="1:25" ht="48.75" customHeight="1">
      <c r="A9" s="309" t="s">
        <v>226</v>
      </c>
      <c r="B9" s="394" t="str">
        <f>IF(ISBLANK(DOCS!H14),"",DOCS!H14)</f>
        <v/>
      </c>
      <c r="C9" s="395"/>
      <c r="D9" s="395"/>
      <c r="E9" s="395"/>
      <c r="F9" s="395"/>
      <c r="G9" s="395"/>
      <c r="H9" s="395"/>
      <c r="I9" s="395"/>
      <c r="J9" s="396"/>
      <c r="N9" s="265"/>
      <c r="R9" s="262"/>
    </row>
    <row r="10" spans="1:25" ht="48.75" customHeight="1">
      <c r="A10" s="309" t="s">
        <v>228</v>
      </c>
      <c r="B10" s="394" t="str">
        <f>IF(ISBLANK(DOCS!H12),"",DOCS!H12)</f>
        <v/>
      </c>
      <c r="C10" s="395"/>
      <c r="D10" s="395"/>
      <c r="E10" s="395"/>
      <c r="F10" s="395"/>
      <c r="G10" s="395"/>
      <c r="H10" s="395"/>
      <c r="I10" s="395"/>
      <c r="J10" s="396"/>
      <c r="N10" s="265"/>
      <c r="R10" s="262"/>
    </row>
    <row r="11" spans="1:25" ht="119.25" customHeight="1">
      <c r="A11" s="316" t="s">
        <v>227</v>
      </c>
      <c r="B11" s="395" t="s">
        <v>224</v>
      </c>
      <c r="C11" s="395"/>
      <c r="D11" s="395"/>
      <c r="E11" s="395"/>
      <c r="F11" s="395"/>
      <c r="G11" s="395"/>
      <c r="H11" s="395"/>
      <c r="I11" s="395"/>
      <c r="J11" s="396"/>
      <c r="Y11" s="263"/>
    </row>
    <row r="12" spans="1:25" ht="66" customHeight="1" thickBot="1">
      <c r="A12" s="274" t="s">
        <v>234</v>
      </c>
      <c r="B12" s="317">
        <f>DOCS!D42</f>
        <v>0</v>
      </c>
      <c r="C12" s="310"/>
      <c r="D12" s="310"/>
      <c r="E12" s="310"/>
      <c r="F12" s="310"/>
      <c r="G12" s="310"/>
      <c r="H12" s="310"/>
      <c r="I12" s="310"/>
      <c r="J12" s="311"/>
      <c r="Y12" s="263"/>
    </row>
  </sheetData>
  <customSheetViews>
    <customSheetView guid="{B917A2D9-9544-4879-AB10-D367CD87C30A}" scale="70" showPageBreaks="1" showGridLines="0" fitToPage="1" printArea="1" hiddenColumns="1" state="hidden" view="pageBreakPreview">
      <selection activeCell="P3" sqref="P3"/>
      <pageMargins left="0.45" right="0.45" top="0.5" bottom="0.5" header="0.3" footer="0.3"/>
      <pageSetup scale="58" pageOrder="overThenDown" orientation="portrait" horizontalDpi="200" verticalDpi="200" r:id="rId1"/>
    </customSheetView>
  </customSheetViews>
  <mergeCells count="10">
    <mergeCell ref="B9:J9"/>
    <mergeCell ref="B10:J10"/>
    <mergeCell ref="B11:J11"/>
    <mergeCell ref="A1:F1"/>
    <mergeCell ref="A5:A8"/>
    <mergeCell ref="B5:J5"/>
    <mergeCell ref="B6:J6"/>
    <mergeCell ref="B7:J7"/>
    <mergeCell ref="B8:J8"/>
    <mergeCell ref="A2:A3"/>
  </mergeCells>
  <phoneticPr fontId="39"/>
  <pageMargins left="0.45" right="0.45" top="0.5" bottom="0.5" header="0.3" footer="0.3"/>
  <pageSetup scale="55" pageOrder="overThenDown" orientation="portrait" horizontalDpi="200" verticalDpi="2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27"/>
  <sheetViews>
    <sheetView topLeftCell="E1" workbookViewId="0">
      <selection activeCell="I31" sqref="I31"/>
    </sheetView>
  </sheetViews>
  <sheetFormatPr defaultColWidth="9.140625" defaultRowHeight="11.25"/>
  <cols>
    <col min="1" max="1" width="9.140625" style="1"/>
    <col min="2" max="2" width="9.140625" style="141"/>
    <col min="3" max="4" width="64.28515625" style="141" customWidth="1"/>
    <col min="5" max="6" width="9.140625" style="1"/>
    <col min="7" max="7" width="3.7109375" style="156" customWidth="1"/>
    <col min="8" max="8" width="24.5703125" style="1" bestFit="1" customWidth="1"/>
    <col min="9" max="9" width="79.85546875" style="143" customWidth="1"/>
    <col min="10" max="10" width="67" style="144" customWidth="1"/>
    <col min="11" max="16384" width="9.140625" style="1"/>
  </cols>
  <sheetData>
    <row r="1" spans="1:10">
      <c r="A1" s="2"/>
      <c r="B1" s="147">
        <v>1</v>
      </c>
      <c r="C1" s="147">
        <v>2</v>
      </c>
      <c r="D1" s="147">
        <v>3</v>
      </c>
      <c r="G1" s="147" t="s">
        <v>24</v>
      </c>
      <c r="H1" s="152" t="s">
        <v>131</v>
      </c>
      <c r="I1" s="153" t="s">
        <v>193</v>
      </c>
      <c r="J1" s="154" t="s">
        <v>130</v>
      </c>
    </row>
    <row r="2" spans="1:10" ht="35.25" customHeight="1">
      <c r="A2" s="151" t="s">
        <v>194</v>
      </c>
      <c r="B2" s="145">
        <f>DOCS!D42</f>
        <v>0</v>
      </c>
      <c r="C2" s="149" t="e">
        <f>VLOOKUP(B2,H:I,2,0)</f>
        <v>#N/A</v>
      </c>
      <c r="D2" s="148" t="e">
        <f>VLOOKUP(B2,H:J,3,0)</f>
        <v>#N/A</v>
      </c>
      <c r="E2" s="1">
        <v>1</v>
      </c>
      <c r="G2" s="145">
        <v>1</v>
      </c>
      <c r="H2" s="146" t="s">
        <v>141</v>
      </c>
      <c r="I2" s="155" t="s">
        <v>142</v>
      </c>
      <c r="J2" s="148" t="s">
        <v>170</v>
      </c>
    </row>
    <row r="3" spans="1:10" ht="35.25" customHeight="1">
      <c r="A3" s="151" t="s">
        <v>195</v>
      </c>
      <c r="B3" s="145">
        <f>CARGO!Q42</f>
        <v>0</v>
      </c>
      <c r="C3" s="149" t="e">
        <f>VLOOKUP(B3,H:I,2,0)</f>
        <v>#N/A</v>
      </c>
      <c r="D3" s="148" t="e">
        <f>VLOOKUP(B3,H:J,3,0)</f>
        <v>#N/A</v>
      </c>
      <c r="E3" s="1">
        <v>2</v>
      </c>
      <c r="G3" s="145">
        <v>2</v>
      </c>
      <c r="H3" s="159" t="s">
        <v>199</v>
      </c>
      <c r="I3" s="148" t="s">
        <v>143</v>
      </c>
      <c r="J3" s="148" t="s">
        <v>171</v>
      </c>
    </row>
    <row r="4" spans="1:10" ht="33.75">
      <c r="B4" s="150" t="s">
        <v>128</v>
      </c>
      <c r="C4" s="150" t="s">
        <v>129</v>
      </c>
      <c r="D4" s="150" t="s">
        <v>130</v>
      </c>
      <c r="G4" s="145">
        <v>3</v>
      </c>
      <c r="H4" s="159" t="s">
        <v>200</v>
      </c>
      <c r="I4" s="155" t="s">
        <v>144</v>
      </c>
      <c r="J4" s="148" t="s">
        <v>192</v>
      </c>
    </row>
    <row r="5" spans="1:10" ht="22.5">
      <c r="G5" s="145">
        <v>4</v>
      </c>
      <c r="H5" s="159" t="s">
        <v>145</v>
      </c>
      <c r="I5" s="148" t="s">
        <v>146</v>
      </c>
      <c r="J5" s="148" t="s">
        <v>172</v>
      </c>
    </row>
    <row r="6" spans="1:10" ht="22.5">
      <c r="G6" s="145">
        <v>5</v>
      </c>
      <c r="H6" s="159" t="s">
        <v>201</v>
      </c>
      <c r="I6" s="148" t="s">
        <v>147</v>
      </c>
      <c r="J6" s="148" t="s">
        <v>173</v>
      </c>
    </row>
    <row r="7" spans="1:10" ht="22.5">
      <c r="G7" s="145">
        <v>6</v>
      </c>
      <c r="H7" s="159" t="s">
        <v>202</v>
      </c>
      <c r="I7" s="148" t="s">
        <v>148</v>
      </c>
      <c r="J7" s="148" t="s">
        <v>174</v>
      </c>
    </row>
    <row r="8" spans="1:10">
      <c r="G8" s="145">
        <v>7</v>
      </c>
      <c r="H8" s="159" t="s">
        <v>203</v>
      </c>
      <c r="I8" s="148" t="s">
        <v>149</v>
      </c>
      <c r="J8" s="148" t="s">
        <v>175</v>
      </c>
    </row>
    <row r="9" spans="1:10" ht="22.5">
      <c r="G9" s="145">
        <v>8</v>
      </c>
      <c r="H9" s="159" t="s">
        <v>204</v>
      </c>
      <c r="I9" s="148" t="s">
        <v>150</v>
      </c>
      <c r="J9" s="148" t="s">
        <v>176</v>
      </c>
    </row>
    <row r="10" spans="1:10">
      <c r="G10" s="145">
        <v>9</v>
      </c>
      <c r="H10" s="159" t="s">
        <v>205</v>
      </c>
      <c r="I10" s="148" t="s">
        <v>151</v>
      </c>
      <c r="J10" s="148" t="s">
        <v>177</v>
      </c>
    </row>
    <row r="11" spans="1:10">
      <c r="G11" s="145">
        <v>10</v>
      </c>
      <c r="H11" s="159" t="s">
        <v>206</v>
      </c>
      <c r="I11" s="148" t="s">
        <v>152</v>
      </c>
      <c r="J11" s="148" t="s">
        <v>178</v>
      </c>
    </row>
    <row r="12" spans="1:10" ht="22.5">
      <c r="G12" s="145">
        <v>11</v>
      </c>
      <c r="H12" s="159" t="s">
        <v>207</v>
      </c>
      <c r="I12" s="148" t="s">
        <v>153</v>
      </c>
      <c r="J12" s="148" t="s">
        <v>179</v>
      </c>
    </row>
    <row r="13" spans="1:10" ht="22.5">
      <c r="G13" s="145">
        <v>12</v>
      </c>
      <c r="H13" s="159" t="s">
        <v>154</v>
      </c>
      <c r="I13" s="148" t="s">
        <v>155</v>
      </c>
      <c r="J13" s="148" t="s">
        <v>180</v>
      </c>
    </row>
    <row r="14" spans="1:10">
      <c r="G14" s="145">
        <v>13</v>
      </c>
      <c r="H14" s="159" t="s">
        <v>208</v>
      </c>
      <c r="I14" s="148" t="s">
        <v>156</v>
      </c>
      <c r="J14" s="148" t="s">
        <v>190</v>
      </c>
    </row>
    <row r="15" spans="1:10" ht="45">
      <c r="G15" s="145">
        <v>14</v>
      </c>
      <c r="H15" s="159" t="s">
        <v>157</v>
      </c>
      <c r="I15" s="148" t="s">
        <v>158</v>
      </c>
      <c r="J15" s="148" t="s">
        <v>181</v>
      </c>
    </row>
    <row r="16" spans="1:10" ht="22.5">
      <c r="G16" s="145">
        <v>15</v>
      </c>
      <c r="H16" s="159" t="s">
        <v>209</v>
      </c>
      <c r="I16" s="148" t="s">
        <v>159</v>
      </c>
      <c r="J16" s="148" t="s">
        <v>182</v>
      </c>
    </row>
    <row r="17" spans="4:10">
      <c r="G17" s="145">
        <v>16</v>
      </c>
      <c r="H17" s="159" t="s">
        <v>210</v>
      </c>
      <c r="I17" s="148" t="s">
        <v>160</v>
      </c>
      <c r="J17" s="148" t="s">
        <v>170</v>
      </c>
    </row>
    <row r="18" spans="4:10">
      <c r="G18" s="145">
        <v>17</v>
      </c>
      <c r="H18" s="159" t="s">
        <v>161</v>
      </c>
      <c r="I18" s="155" t="s">
        <v>162</v>
      </c>
      <c r="J18" s="148" t="s">
        <v>191</v>
      </c>
    </row>
    <row r="19" spans="4:10">
      <c r="G19" s="145">
        <v>18</v>
      </c>
      <c r="H19" s="159" t="s">
        <v>245</v>
      </c>
      <c r="I19" s="148" t="s">
        <v>163</v>
      </c>
      <c r="J19" s="148" t="s">
        <v>183</v>
      </c>
    </row>
    <row r="20" spans="4:10" ht="22.5">
      <c r="G20" s="145">
        <v>19</v>
      </c>
      <c r="H20" s="159" t="s">
        <v>245</v>
      </c>
      <c r="I20" s="148" t="s">
        <v>164</v>
      </c>
      <c r="J20" s="148" t="s">
        <v>184</v>
      </c>
    </row>
    <row r="21" spans="4:10">
      <c r="G21" s="145">
        <v>20</v>
      </c>
      <c r="H21" s="159" t="s">
        <v>249</v>
      </c>
      <c r="I21" s="148" t="s">
        <v>246</v>
      </c>
      <c r="J21" s="148" t="s">
        <v>247</v>
      </c>
    </row>
    <row r="22" spans="4:10">
      <c r="D22" s="141" t="s">
        <v>52</v>
      </c>
      <c r="G22" s="145">
        <v>21</v>
      </c>
      <c r="H22" s="159" t="s">
        <v>211</v>
      </c>
      <c r="I22" s="148" t="s">
        <v>165</v>
      </c>
      <c r="J22" s="148" t="s">
        <v>185</v>
      </c>
    </row>
    <row r="23" spans="4:10">
      <c r="G23" s="145">
        <v>22</v>
      </c>
      <c r="H23" s="159" t="s">
        <v>212</v>
      </c>
      <c r="I23" s="155" t="s">
        <v>166</v>
      </c>
      <c r="J23" s="148" t="s">
        <v>186</v>
      </c>
    </row>
    <row r="24" spans="4:10" ht="22.5">
      <c r="G24" s="145">
        <v>23</v>
      </c>
      <c r="H24" s="159" t="s">
        <v>248</v>
      </c>
      <c r="I24" s="148" t="s">
        <v>167</v>
      </c>
      <c r="J24" s="148" t="s">
        <v>187</v>
      </c>
    </row>
    <row r="25" spans="4:10" ht="22.5">
      <c r="G25" s="145">
        <v>24</v>
      </c>
      <c r="H25" s="159" t="s">
        <v>213</v>
      </c>
      <c r="I25" s="148" t="s">
        <v>168</v>
      </c>
      <c r="J25" s="148" t="s">
        <v>188</v>
      </c>
    </row>
    <row r="26" spans="4:10">
      <c r="G26" s="145">
        <v>25</v>
      </c>
      <c r="H26" s="159" t="s">
        <v>214</v>
      </c>
      <c r="I26" s="148" t="s">
        <v>169</v>
      </c>
      <c r="J26" s="148" t="s">
        <v>189</v>
      </c>
    </row>
    <row r="27" spans="4:10">
      <c r="G27" s="145">
        <v>26</v>
      </c>
      <c r="H27" s="159" t="s">
        <v>250</v>
      </c>
      <c r="I27" s="148"/>
      <c r="J27" s="148" t="s">
        <v>251</v>
      </c>
    </row>
  </sheetData>
  <customSheetViews>
    <customSheetView guid="{B917A2D9-9544-4879-AB10-D367CD87C30A}" state="hidden">
      <selection activeCell="D9" sqref="D9"/>
      <pageMargins left="0.7" right="0.7" top="0.75" bottom="0.75" header="0.3" footer="0.3"/>
    </customSheetView>
  </customSheetViews>
  <phoneticPr fontId="39"/>
  <hyperlinks>
    <hyperlink ref="I4" r:id="rId1" display="jervy.malapascua@brother-biph.com.ph" xr:uid="{D6820006-4CB3-442C-B093-1A58C846E286}"/>
    <hyperlink ref="I18" r:id="rId2" display="michelle.icaro@brother-biph.com.ph" xr:uid="{6E7C651E-AA0E-4BC9-A2DF-BDC96EECBE2B}"/>
    <hyperlink ref="I23" r:id="rId3" display="mona.dorado@brother-biph.com.ph" xr:uid="{36F57C34-C826-4074-B264-BF9196978B99}"/>
    <hyperlink ref="I2" r:id="rId4" display="allan.bustos@brother-biph.com.ph " xr:uid="{B2A3F5AE-0563-4B5B-A362-43DC51AB21F2}"/>
    <hyperlink ref="J4" r:id="rId5" display="koji.ojika@brother-biph.com.ph" xr:uid="{69362DBC-F889-432D-AA99-9FE1A66C122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6"/>
  <sheetViews>
    <sheetView showGridLines="0" topLeftCell="C1" zoomScale="130" zoomScaleNormal="130" zoomScaleSheetLayoutView="115" workbookViewId="0">
      <selection activeCell="J10" sqref="J10"/>
    </sheetView>
  </sheetViews>
  <sheetFormatPr defaultColWidth="9.140625" defaultRowHeight="11.25"/>
  <cols>
    <col min="1" max="1" width="5.5703125" style="1" customWidth="1"/>
    <col min="2" max="2" width="57.85546875" style="1" bestFit="1" customWidth="1"/>
    <col min="3" max="3" width="8.42578125" style="1" bestFit="1" customWidth="1"/>
    <col min="4" max="4" width="7.85546875" style="1" bestFit="1" customWidth="1"/>
    <col min="5" max="5" width="6" style="1" bestFit="1" customWidth="1"/>
    <col min="6" max="6" width="7.42578125" style="1" bestFit="1" customWidth="1"/>
    <col min="7" max="8" width="9.140625" style="1"/>
    <col min="9" max="9" width="11.5703125" style="1" bestFit="1" customWidth="1"/>
    <col min="10" max="10" width="46.28515625" style="1" customWidth="1"/>
    <col min="11" max="14" width="9.140625" style="1"/>
    <col min="15" max="15" width="10.85546875" style="1" customWidth="1"/>
    <col min="16" max="16" width="39.85546875" style="1" customWidth="1"/>
    <col min="17" max="16384" width="9.140625" style="1"/>
  </cols>
  <sheetData>
    <row r="1" spans="1:16" s="2" customFormat="1">
      <c r="A1" s="2" t="s">
        <v>37</v>
      </c>
      <c r="B1" s="1" t="s">
        <v>41</v>
      </c>
      <c r="C1" s="1" t="s">
        <v>45</v>
      </c>
      <c r="D1" s="1" t="s">
        <v>46</v>
      </c>
      <c r="E1" s="1" t="s">
        <v>47</v>
      </c>
      <c r="F1" s="1" t="s">
        <v>51</v>
      </c>
      <c r="H1" s="2" t="s">
        <v>45</v>
      </c>
      <c r="I1" s="1" t="s">
        <v>45</v>
      </c>
      <c r="J1" s="1" t="s">
        <v>48</v>
      </c>
      <c r="K1" s="2" t="str">
        <f>IF(CARGO!$B$2=Summary!I1,Summary!H1,"")</f>
        <v/>
      </c>
      <c r="O1" s="1" t="s">
        <v>75</v>
      </c>
      <c r="P1" s="23" t="s">
        <v>81</v>
      </c>
    </row>
    <row r="2" spans="1:16" ht="13.5" customHeight="1">
      <c r="A2" s="2" t="s">
        <v>39</v>
      </c>
      <c r="B2" s="1" t="s">
        <v>42</v>
      </c>
      <c r="C2" s="4" t="s">
        <v>50</v>
      </c>
      <c r="D2" s="4" t="s">
        <v>50</v>
      </c>
      <c r="E2" s="1" t="s">
        <v>0</v>
      </c>
      <c r="F2" s="4" t="s">
        <v>50</v>
      </c>
      <c r="G2" s="2"/>
      <c r="H2" s="1" t="s">
        <v>46</v>
      </c>
      <c r="I2" s="1" t="s">
        <v>46</v>
      </c>
      <c r="J2" s="1" t="s">
        <v>138</v>
      </c>
      <c r="K2" s="2" t="str">
        <f>IF(CARGO!$B$2=Summary!I2,Summary!H2,"")</f>
        <v/>
      </c>
      <c r="O2" s="1" t="s">
        <v>76</v>
      </c>
      <c r="P2" s="23" t="s">
        <v>81</v>
      </c>
    </row>
    <row r="3" spans="1:16">
      <c r="A3" s="2" t="s">
        <v>40</v>
      </c>
      <c r="B3" s="1" t="s">
        <v>43</v>
      </c>
      <c r="C3" s="4" t="s">
        <v>50</v>
      </c>
      <c r="D3" s="4" t="s">
        <v>50</v>
      </c>
      <c r="E3" s="1" t="s">
        <v>49</v>
      </c>
      <c r="F3" s="4" t="s">
        <v>50</v>
      </c>
      <c r="G3" s="2"/>
      <c r="H3" s="1" t="s">
        <v>0</v>
      </c>
      <c r="I3" s="1" t="s">
        <v>55</v>
      </c>
      <c r="J3" s="1" t="s">
        <v>139</v>
      </c>
      <c r="K3" s="2" t="str">
        <f>IF(CARGO!$B$2=Summary!I3,Summary!H3,"")</f>
        <v/>
      </c>
      <c r="O3" s="1" t="s">
        <v>77</v>
      </c>
      <c r="P3" s="23" t="s">
        <v>81</v>
      </c>
    </row>
    <row r="4" spans="1:16" ht="13.5" customHeight="1">
      <c r="A4" s="2" t="s">
        <v>38</v>
      </c>
      <c r="B4" s="1" t="s">
        <v>44</v>
      </c>
      <c r="D4" s="3"/>
      <c r="G4" s="2"/>
      <c r="H4" s="1" t="s">
        <v>232</v>
      </c>
      <c r="I4" s="1" t="s">
        <v>56</v>
      </c>
      <c r="J4" s="1" t="s">
        <v>139</v>
      </c>
      <c r="K4" s="2" t="str">
        <f>IF(CARGO!$B$2=Summary!I4,Summary!H4,"")</f>
        <v/>
      </c>
      <c r="O4" s="1" t="s">
        <v>78</v>
      </c>
      <c r="P4" s="23" t="s">
        <v>81</v>
      </c>
    </row>
    <row r="5" spans="1:16" ht="36.75" customHeight="1">
      <c r="G5" s="2"/>
      <c r="H5" s="1" t="s">
        <v>63</v>
      </c>
      <c r="I5" s="1" t="s">
        <v>51</v>
      </c>
      <c r="J5" s="1" t="s">
        <v>58</v>
      </c>
      <c r="K5" s="2" t="str">
        <f>IF(CARGO!$B$2=Summary!I5,Summary!H5,"")</f>
        <v/>
      </c>
      <c r="O5" s="24" t="s">
        <v>79</v>
      </c>
      <c r="P5" s="25" t="s">
        <v>82</v>
      </c>
    </row>
    <row r="6" spans="1:16">
      <c r="I6" s="1" t="s">
        <v>63</v>
      </c>
      <c r="J6" s="1" t="s">
        <v>62</v>
      </c>
    </row>
  </sheetData>
  <customSheetViews>
    <customSheetView guid="{B917A2D9-9544-4879-AB10-D367CD87C30A}" scale="130" showGridLines="0" state="hidden" topLeftCell="C1">
      <selection activeCell="J10" sqref="J10"/>
      <pageMargins left="0.7" right="0.7" top="0.75" bottom="0.75" header="0.3" footer="0.3"/>
      <pageSetup scale="96" orientation="portrait" horizontalDpi="300" verticalDpi="300" r:id="rId1"/>
    </customSheetView>
  </customSheetViews>
  <phoneticPr fontId="39"/>
  <pageMargins left="0.7" right="0.7" top="0.75" bottom="0.75" header="0.3" footer="0.3"/>
  <pageSetup scale="96" orientation="portrait" horizontalDpi="300" verticalDpi="300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N65"/>
  <sheetViews>
    <sheetView showGridLines="0" view="pageBreakPreview" topLeftCell="A10" zoomScaleNormal="100" zoomScaleSheetLayoutView="100" workbookViewId="0">
      <selection activeCell="D27" sqref="D27:E28"/>
    </sheetView>
  </sheetViews>
  <sheetFormatPr defaultRowHeight="12.75" outlineLevelRow="1"/>
  <cols>
    <col min="1" max="1" width="3.5703125" style="30" customWidth="1"/>
    <col min="2" max="2" width="15.28515625" style="30" customWidth="1"/>
    <col min="3" max="3" width="30.140625" style="30" customWidth="1"/>
    <col min="4" max="4" width="11.7109375" style="30" customWidth="1"/>
    <col min="5" max="5" width="9.140625" style="30" customWidth="1"/>
    <col min="6" max="6" width="15.140625" style="30" customWidth="1"/>
    <col min="7" max="7" width="14" style="30" customWidth="1"/>
    <col min="8" max="8" width="18.7109375" style="30" customWidth="1"/>
    <col min="9" max="10" width="15.85546875" style="30" customWidth="1"/>
    <col min="11" max="11" width="19" style="30" customWidth="1"/>
    <col min="12" max="12" width="6.140625" style="30" hidden="1" customWidth="1"/>
    <col min="13" max="13" width="3" style="30" hidden="1" customWidth="1"/>
    <col min="14" max="254" width="9.140625" style="30"/>
    <col min="255" max="255" width="3.140625" style="30" customWidth="1"/>
    <col min="256" max="256" width="13.5703125" style="30" customWidth="1"/>
    <col min="257" max="257" width="12.42578125" style="30" bestFit="1" customWidth="1"/>
    <col min="258" max="258" width="9.140625" style="30"/>
    <col min="259" max="259" width="11.7109375" style="30" customWidth="1"/>
    <col min="260" max="260" width="9.140625" style="30" customWidth="1"/>
    <col min="261" max="261" width="6.140625" style="30" customWidth="1"/>
    <col min="262" max="262" width="4.42578125" style="30" customWidth="1"/>
    <col min="263" max="263" width="15.85546875" style="30" customWidth="1"/>
    <col min="264" max="264" width="13.7109375" style="30" customWidth="1"/>
    <col min="265" max="265" width="12.28515625" style="30" customWidth="1"/>
    <col min="266" max="266" width="10.140625" style="30" bestFit="1" customWidth="1"/>
    <col min="267" max="268" width="9.140625" style="30"/>
    <col min="269" max="269" width="13.7109375" style="30" customWidth="1"/>
    <col min="270" max="510" width="9.140625" style="30"/>
    <col min="511" max="511" width="3.140625" style="30" customWidth="1"/>
    <col min="512" max="512" width="13.5703125" style="30" customWidth="1"/>
    <col min="513" max="513" width="12.42578125" style="30" bestFit="1" customWidth="1"/>
    <col min="514" max="514" width="9.140625" style="30"/>
    <col min="515" max="515" width="11.7109375" style="30" customWidth="1"/>
    <col min="516" max="516" width="9.140625" style="30" customWidth="1"/>
    <col min="517" max="517" width="6.140625" style="30" customWidth="1"/>
    <col min="518" max="518" width="4.42578125" style="30" customWidth="1"/>
    <col min="519" max="519" width="15.85546875" style="30" customWidth="1"/>
    <col min="520" max="520" width="13.7109375" style="30" customWidth="1"/>
    <col min="521" max="521" width="12.28515625" style="30" customWidth="1"/>
    <col min="522" max="522" width="10.140625" style="30" bestFit="1" customWidth="1"/>
    <col min="523" max="524" width="9.140625" style="30"/>
    <col min="525" max="525" width="13.7109375" style="30" customWidth="1"/>
    <col min="526" max="766" width="9.140625" style="30"/>
    <col min="767" max="767" width="3.140625" style="30" customWidth="1"/>
    <col min="768" max="768" width="13.5703125" style="30" customWidth="1"/>
    <col min="769" max="769" width="12.42578125" style="30" bestFit="1" customWidth="1"/>
    <col min="770" max="770" width="9.140625" style="30"/>
    <col min="771" max="771" width="11.7109375" style="30" customWidth="1"/>
    <col min="772" max="772" width="9.140625" style="30" customWidth="1"/>
    <col min="773" max="773" width="6.140625" style="30" customWidth="1"/>
    <col min="774" max="774" width="4.42578125" style="30" customWidth="1"/>
    <col min="775" max="775" width="15.85546875" style="30" customWidth="1"/>
    <col min="776" max="776" width="13.7109375" style="30" customWidth="1"/>
    <col min="777" max="777" width="12.28515625" style="30" customWidth="1"/>
    <col min="778" max="778" width="10.140625" style="30" bestFit="1" customWidth="1"/>
    <col min="779" max="780" width="9.140625" style="30"/>
    <col min="781" max="781" width="13.7109375" style="30" customWidth="1"/>
    <col min="782" max="1022" width="9.140625" style="30"/>
    <col min="1023" max="1023" width="3.140625" style="30" customWidth="1"/>
    <col min="1024" max="1024" width="13.5703125" style="30" customWidth="1"/>
    <col min="1025" max="1025" width="12.42578125" style="30" bestFit="1" customWidth="1"/>
    <col min="1026" max="1026" width="9.140625" style="30"/>
    <col min="1027" max="1027" width="11.7109375" style="30" customWidth="1"/>
    <col min="1028" max="1028" width="9.140625" style="30" customWidth="1"/>
    <col min="1029" max="1029" width="6.140625" style="30" customWidth="1"/>
    <col min="1030" max="1030" width="4.42578125" style="30" customWidth="1"/>
    <col min="1031" max="1031" width="15.85546875" style="30" customWidth="1"/>
    <col min="1032" max="1032" width="13.7109375" style="30" customWidth="1"/>
    <col min="1033" max="1033" width="12.28515625" style="30" customWidth="1"/>
    <col min="1034" max="1034" width="10.140625" style="30" bestFit="1" customWidth="1"/>
    <col min="1035" max="1036" width="9.140625" style="30"/>
    <col min="1037" max="1037" width="13.7109375" style="30" customWidth="1"/>
    <col min="1038" max="1278" width="9.140625" style="30"/>
    <col min="1279" max="1279" width="3.140625" style="30" customWidth="1"/>
    <col min="1280" max="1280" width="13.5703125" style="30" customWidth="1"/>
    <col min="1281" max="1281" width="12.42578125" style="30" bestFit="1" customWidth="1"/>
    <col min="1282" max="1282" width="9.140625" style="30"/>
    <col min="1283" max="1283" width="11.7109375" style="30" customWidth="1"/>
    <col min="1284" max="1284" width="9.140625" style="30" customWidth="1"/>
    <col min="1285" max="1285" width="6.140625" style="30" customWidth="1"/>
    <col min="1286" max="1286" width="4.42578125" style="30" customWidth="1"/>
    <col min="1287" max="1287" width="15.85546875" style="30" customWidth="1"/>
    <col min="1288" max="1288" width="13.7109375" style="30" customWidth="1"/>
    <col min="1289" max="1289" width="12.28515625" style="30" customWidth="1"/>
    <col min="1290" max="1290" width="10.140625" style="30" bestFit="1" customWidth="1"/>
    <col min="1291" max="1292" width="9.140625" style="30"/>
    <col min="1293" max="1293" width="13.7109375" style="30" customWidth="1"/>
    <col min="1294" max="1534" width="9.140625" style="30"/>
    <col min="1535" max="1535" width="3.140625" style="30" customWidth="1"/>
    <col min="1536" max="1536" width="13.5703125" style="30" customWidth="1"/>
    <col min="1537" max="1537" width="12.42578125" style="30" bestFit="1" customWidth="1"/>
    <col min="1538" max="1538" width="9.140625" style="30"/>
    <col min="1539" max="1539" width="11.7109375" style="30" customWidth="1"/>
    <col min="1540" max="1540" width="9.140625" style="30" customWidth="1"/>
    <col min="1541" max="1541" width="6.140625" style="30" customWidth="1"/>
    <col min="1542" max="1542" width="4.42578125" style="30" customWidth="1"/>
    <col min="1543" max="1543" width="15.85546875" style="30" customWidth="1"/>
    <col min="1544" max="1544" width="13.7109375" style="30" customWidth="1"/>
    <col min="1545" max="1545" width="12.28515625" style="30" customWidth="1"/>
    <col min="1546" max="1546" width="10.140625" style="30" bestFit="1" customWidth="1"/>
    <col min="1547" max="1548" width="9.140625" style="30"/>
    <col min="1549" max="1549" width="13.7109375" style="30" customWidth="1"/>
    <col min="1550" max="1790" width="9.140625" style="30"/>
    <col min="1791" max="1791" width="3.140625" style="30" customWidth="1"/>
    <col min="1792" max="1792" width="13.5703125" style="30" customWidth="1"/>
    <col min="1793" max="1793" width="12.42578125" style="30" bestFit="1" customWidth="1"/>
    <col min="1794" max="1794" width="9.140625" style="30"/>
    <col min="1795" max="1795" width="11.7109375" style="30" customWidth="1"/>
    <col min="1796" max="1796" width="9.140625" style="30" customWidth="1"/>
    <col min="1797" max="1797" width="6.140625" style="30" customWidth="1"/>
    <col min="1798" max="1798" width="4.42578125" style="30" customWidth="1"/>
    <col min="1799" max="1799" width="15.85546875" style="30" customWidth="1"/>
    <col min="1800" max="1800" width="13.7109375" style="30" customWidth="1"/>
    <col min="1801" max="1801" width="12.28515625" style="30" customWidth="1"/>
    <col min="1802" max="1802" width="10.140625" style="30" bestFit="1" customWidth="1"/>
    <col min="1803" max="1804" width="9.140625" style="30"/>
    <col min="1805" max="1805" width="13.7109375" style="30" customWidth="1"/>
    <col min="1806" max="2046" width="9.140625" style="30"/>
    <col min="2047" max="2047" width="3.140625" style="30" customWidth="1"/>
    <col min="2048" max="2048" width="13.5703125" style="30" customWidth="1"/>
    <col min="2049" max="2049" width="12.42578125" style="30" bestFit="1" customWidth="1"/>
    <col min="2050" max="2050" width="9.140625" style="30"/>
    <col min="2051" max="2051" width="11.7109375" style="30" customWidth="1"/>
    <col min="2052" max="2052" width="9.140625" style="30" customWidth="1"/>
    <col min="2053" max="2053" width="6.140625" style="30" customWidth="1"/>
    <col min="2054" max="2054" width="4.42578125" style="30" customWidth="1"/>
    <col min="2055" max="2055" width="15.85546875" style="30" customWidth="1"/>
    <col min="2056" max="2056" width="13.7109375" style="30" customWidth="1"/>
    <col min="2057" max="2057" width="12.28515625" style="30" customWidth="1"/>
    <col min="2058" max="2058" width="10.140625" style="30" bestFit="1" customWidth="1"/>
    <col min="2059" max="2060" width="9.140625" style="30"/>
    <col min="2061" max="2061" width="13.7109375" style="30" customWidth="1"/>
    <col min="2062" max="2302" width="9.140625" style="30"/>
    <col min="2303" max="2303" width="3.140625" style="30" customWidth="1"/>
    <col min="2304" max="2304" width="13.5703125" style="30" customWidth="1"/>
    <col min="2305" max="2305" width="12.42578125" style="30" bestFit="1" customWidth="1"/>
    <col min="2306" max="2306" width="9.140625" style="30"/>
    <col min="2307" max="2307" width="11.7109375" style="30" customWidth="1"/>
    <col min="2308" max="2308" width="9.140625" style="30" customWidth="1"/>
    <col min="2309" max="2309" width="6.140625" style="30" customWidth="1"/>
    <col min="2310" max="2310" width="4.42578125" style="30" customWidth="1"/>
    <col min="2311" max="2311" width="15.85546875" style="30" customWidth="1"/>
    <col min="2312" max="2312" width="13.7109375" style="30" customWidth="1"/>
    <col min="2313" max="2313" width="12.28515625" style="30" customWidth="1"/>
    <col min="2314" max="2314" width="10.140625" style="30" bestFit="1" customWidth="1"/>
    <col min="2315" max="2316" width="9.140625" style="30"/>
    <col min="2317" max="2317" width="13.7109375" style="30" customWidth="1"/>
    <col min="2318" max="2558" width="9.140625" style="30"/>
    <col min="2559" max="2559" width="3.140625" style="30" customWidth="1"/>
    <col min="2560" max="2560" width="13.5703125" style="30" customWidth="1"/>
    <col min="2561" max="2561" width="12.42578125" style="30" bestFit="1" customWidth="1"/>
    <col min="2562" max="2562" width="9.140625" style="30"/>
    <col min="2563" max="2563" width="11.7109375" style="30" customWidth="1"/>
    <col min="2564" max="2564" width="9.140625" style="30" customWidth="1"/>
    <col min="2565" max="2565" width="6.140625" style="30" customWidth="1"/>
    <col min="2566" max="2566" width="4.42578125" style="30" customWidth="1"/>
    <col min="2567" max="2567" width="15.85546875" style="30" customWidth="1"/>
    <col min="2568" max="2568" width="13.7109375" style="30" customWidth="1"/>
    <col min="2569" max="2569" width="12.28515625" style="30" customWidth="1"/>
    <col min="2570" max="2570" width="10.140625" style="30" bestFit="1" customWidth="1"/>
    <col min="2571" max="2572" width="9.140625" style="30"/>
    <col min="2573" max="2573" width="13.7109375" style="30" customWidth="1"/>
    <col min="2574" max="2814" width="9.140625" style="30"/>
    <col min="2815" max="2815" width="3.140625" style="30" customWidth="1"/>
    <col min="2816" max="2816" width="13.5703125" style="30" customWidth="1"/>
    <col min="2817" max="2817" width="12.42578125" style="30" bestFit="1" customWidth="1"/>
    <col min="2818" max="2818" width="9.140625" style="30"/>
    <col min="2819" max="2819" width="11.7109375" style="30" customWidth="1"/>
    <col min="2820" max="2820" width="9.140625" style="30" customWidth="1"/>
    <col min="2821" max="2821" width="6.140625" style="30" customWidth="1"/>
    <col min="2822" max="2822" width="4.42578125" style="30" customWidth="1"/>
    <col min="2823" max="2823" width="15.85546875" style="30" customWidth="1"/>
    <col min="2824" max="2824" width="13.7109375" style="30" customWidth="1"/>
    <col min="2825" max="2825" width="12.28515625" style="30" customWidth="1"/>
    <col min="2826" max="2826" width="10.140625" style="30" bestFit="1" customWidth="1"/>
    <col min="2827" max="2828" width="9.140625" style="30"/>
    <col min="2829" max="2829" width="13.7109375" style="30" customWidth="1"/>
    <col min="2830" max="3070" width="9.140625" style="30"/>
    <col min="3071" max="3071" width="3.140625" style="30" customWidth="1"/>
    <col min="3072" max="3072" width="13.5703125" style="30" customWidth="1"/>
    <col min="3073" max="3073" width="12.42578125" style="30" bestFit="1" customWidth="1"/>
    <col min="3074" max="3074" width="9.140625" style="30"/>
    <col min="3075" max="3075" width="11.7109375" style="30" customWidth="1"/>
    <col min="3076" max="3076" width="9.140625" style="30" customWidth="1"/>
    <col min="3077" max="3077" width="6.140625" style="30" customWidth="1"/>
    <col min="3078" max="3078" width="4.42578125" style="30" customWidth="1"/>
    <col min="3079" max="3079" width="15.85546875" style="30" customWidth="1"/>
    <col min="3080" max="3080" width="13.7109375" style="30" customWidth="1"/>
    <col min="3081" max="3081" width="12.28515625" style="30" customWidth="1"/>
    <col min="3082" max="3082" width="10.140625" style="30" bestFit="1" customWidth="1"/>
    <col min="3083" max="3084" width="9.140625" style="30"/>
    <col min="3085" max="3085" width="13.7109375" style="30" customWidth="1"/>
    <col min="3086" max="3326" width="9.140625" style="30"/>
    <col min="3327" max="3327" width="3.140625" style="30" customWidth="1"/>
    <col min="3328" max="3328" width="13.5703125" style="30" customWidth="1"/>
    <col min="3329" max="3329" width="12.42578125" style="30" bestFit="1" customWidth="1"/>
    <col min="3330" max="3330" width="9.140625" style="30"/>
    <col min="3331" max="3331" width="11.7109375" style="30" customWidth="1"/>
    <col min="3332" max="3332" width="9.140625" style="30" customWidth="1"/>
    <col min="3333" max="3333" width="6.140625" style="30" customWidth="1"/>
    <col min="3334" max="3334" width="4.42578125" style="30" customWidth="1"/>
    <col min="3335" max="3335" width="15.85546875" style="30" customWidth="1"/>
    <col min="3336" max="3336" width="13.7109375" style="30" customWidth="1"/>
    <col min="3337" max="3337" width="12.28515625" style="30" customWidth="1"/>
    <col min="3338" max="3338" width="10.140625" style="30" bestFit="1" customWidth="1"/>
    <col min="3339" max="3340" width="9.140625" style="30"/>
    <col min="3341" max="3341" width="13.7109375" style="30" customWidth="1"/>
    <col min="3342" max="3582" width="9.140625" style="30"/>
    <col min="3583" max="3583" width="3.140625" style="30" customWidth="1"/>
    <col min="3584" max="3584" width="13.5703125" style="30" customWidth="1"/>
    <col min="3585" max="3585" width="12.42578125" style="30" bestFit="1" customWidth="1"/>
    <col min="3586" max="3586" width="9.140625" style="30"/>
    <col min="3587" max="3587" width="11.7109375" style="30" customWidth="1"/>
    <col min="3588" max="3588" width="9.140625" style="30" customWidth="1"/>
    <col min="3589" max="3589" width="6.140625" style="30" customWidth="1"/>
    <col min="3590" max="3590" width="4.42578125" style="30" customWidth="1"/>
    <col min="3591" max="3591" width="15.85546875" style="30" customWidth="1"/>
    <col min="3592" max="3592" width="13.7109375" style="30" customWidth="1"/>
    <col min="3593" max="3593" width="12.28515625" style="30" customWidth="1"/>
    <col min="3594" max="3594" width="10.140625" style="30" bestFit="1" customWidth="1"/>
    <col min="3595" max="3596" width="9.140625" style="30"/>
    <col min="3597" max="3597" width="13.7109375" style="30" customWidth="1"/>
    <col min="3598" max="3838" width="9.140625" style="30"/>
    <col min="3839" max="3839" width="3.140625" style="30" customWidth="1"/>
    <col min="3840" max="3840" width="13.5703125" style="30" customWidth="1"/>
    <col min="3841" max="3841" width="12.42578125" style="30" bestFit="1" customWidth="1"/>
    <col min="3842" max="3842" width="9.140625" style="30"/>
    <col min="3843" max="3843" width="11.7109375" style="30" customWidth="1"/>
    <col min="3844" max="3844" width="9.140625" style="30" customWidth="1"/>
    <col min="3845" max="3845" width="6.140625" style="30" customWidth="1"/>
    <col min="3846" max="3846" width="4.42578125" style="30" customWidth="1"/>
    <col min="3847" max="3847" width="15.85546875" style="30" customWidth="1"/>
    <col min="3848" max="3848" width="13.7109375" style="30" customWidth="1"/>
    <col min="3849" max="3849" width="12.28515625" style="30" customWidth="1"/>
    <col min="3850" max="3850" width="10.140625" style="30" bestFit="1" customWidth="1"/>
    <col min="3851" max="3852" width="9.140625" style="30"/>
    <col min="3853" max="3853" width="13.7109375" style="30" customWidth="1"/>
    <col min="3854" max="4094" width="9.140625" style="30"/>
    <col min="4095" max="4095" width="3.140625" style="30" customWidth="1"/>
    <col min="4096" max="4096" width="13.5703125" style="30" customWidth="1"/>
    <col min="4097" max="4097" width="12.42578125" style="30" bestFit="1" customWidth="1"/>
    <col min="4098" max="4098" width="9.140625" style="30"/>
    <col min="4099" max="4099" width="11.7109375" style="30" customWidth="1"/>
    <col min="4100" max="4100" width="9.140625" style="30" customWidth="1"/>
    <col min="4101" max="4101" width="6.140625" style="30" customWidth="1"/>
    <col min="4102" max="4102" width="4.42578125" style="30" customWidth="1"/>
    <col min="4103" max="4103" width="15.85546875" style="30" customWidth="1"/>
    <col min="4104" max="4104" width="13.7109375" style="30" customWidth="1"/>
    <col min="4105" max="4105" width="12.28515625" style="30" customWidth="1"/>
    <col min="4106" max="4106" width="10.140625" style="30" bestFit="1" customWidth="1"/>
    <col min="4107" max="4108" width="9.140625" style="30"/>
    <col min="4109" max="4109" width="13.7109375" style="30" customWidth="1"/>
    <col min="4110" max="4350" width="9.140625" style="30"/>
    <col min="4351" max="4351" width="3.140625" style="30" customWidth="1"/>
    <col min="4352" max="4352" width="13.5703125" style="30" customWidth="1"/>
    <col min="4353" max="4353" width="12.42578125" style="30" bestFit="1" customWidth="1"/>
    <col min="4354" max="4354" width="9.140625" style="30"/>
    <col min="4355" max="4355" width="11.7109375" style="30" customWidth="1"/>
    <col min="4356" max="4356" width="9.140625" style="30" customWidth="1"/>
    <col min="4357" max="4357" width="6.140625" style="30" customWidth="1"/>
    <col min="4358" max="4358" width="4.42578125" style="30" customWidth="1"/>
    <col min="4359" max="4359" width="15.85546875" style="30" customWidth="1"/>
    <col min="4360" max="4360" width="13.7109375" style="30" customWidth="1"/>
    <col min="4361" max="4361" width="12.28515625" style="30" customWidth="1"/>
    <col min="4362" max="4362" width="10.140625" style="30" bestFit="1" customWidth="1"/>
    <col min="4363" max="4364" width="9.140625" style="30"/>
    <col min="4365" max="4365" width="13.7109375" style="30" customWidth="1"/>
    <col min="4366" max="4606" width="9.140625" style="30"/>
    <col min="4607" max="4607" width="3.140625" style="30" customWidth="1"/>
    <col min="4608" max="4608" width="13.5703125" style="30" customWidth="1"/>
    <col min="4609" max="4609" width="12.42578125" style="30" bestFit="1" customWidth="1"/>
    <col min="4610" max="4610" width="9.140625" style="30"/>
    <col min="4611" max="4611" width="11.7109375" style="30" customWidth="1"/>
    <col min="4612" max="4612" width="9.140625" style="30" customWidth="1"/>
    <col min="4613" max="4613" width="6.140625" style="30" customWidth="1"/>
    <col min="4614" max="4614" width="4.42578125" style="30" customWidth="1"/>
    <col min="4615" max="4615" width="15.85546875" style="30" customWidth="1"/>
    <col min="4616" max="4616" width="13.7109375" style="30" customWidth="1"/>
    <col min="4617" max="4617" width="12.28515625" style="30" customWidth="1"/>
    <col min="4618" max="4618" width="10.140625" style="30" bestFit="1" customWidth="1"/>
    <col min="4619" max="4620" width="9.140625" style="30"/>
    <col min="4621" max="4621" width="13.7109375" style="30" customWidth="1"/>
    <col min="4622" max="4862" width="9.140625" style="30"/>
    <col min="4863" max="4863" width="3.140625" style="30" customWidth="1"/>
    <col min="4864" max="4864" width="13.5703125" style="30" customWidth="1"/>
    <col min="4865" max="4865" width="12.42578125" style="30" bestFit="1" customWidth="1"/>
    <col min="4866" max="4866" width="9.140625" style="30"/>
    <col min="4867" max="4867" width="11.7109375" style="30" customWidth="1"/>
    <col min="4868" max="4868" width="9.140625" style="30" customWidth="1"/>
    <col min="4869" max="4869" width="6.140625" style="30" customWidth="1"/>
    <col min="4870" max="4870" width="4.42578125" style="30" customWidth="1"/>
    <col min="4871" max="4871" width="15.85546875" style="30" customWidth="1"/>
    <col min="4872" max="4872" width="13.7109375" style="30" customWidth="1"/>
    <col min="4873" max="4873" width="12.28515625" style="30" customWidth="1"/>
    <col min="4874" max="4874" width="10.140625" style="30" bestFit="1" customWidth="1"/>
    <col min="4875" max="4876" width="9.140625" style="30"/>
    <col min="4877" max="4877" width="13.7109375" style="30" customWidth="1"/>
    <col min="4878" max="5118" width="9.140625" style="30"/>
    <col min="5119" max="5119" width="3.140625" style="30" customWidth="1"/>
    <col min="5120" max="5120" width="13.5703125" style="30" customWidth="1"/>
    <col min="5121" max="5121" width="12.42578125" style="30" bestFit="1" customWidth="1"/>
    <col min="5122" max="5122" width="9.140625" style="30"/>
    <col min="5123" max="5123" width="11.7109375" style="30" customWidth="1"/>
    <col min="5124" max="5124" width="9.140625" style="30" customWidth="1"/>
    <col min="5125" max="5125" width="6.140625" style="30" customWidth="1"/>
    <col min="5126" max="5126" width="4.42578125" style="30" customWidth="1"/>
    <col min="5127" max="5127" width="15.85546875" style="30" customWidth="1"/>
    <col min="5128" max="5128" width="13.7109375" style="30" customWidth="1"/>
    <col min="5129" max="5129" width="12.28515625" style="30" customWidth="1"/>
    <col min="5130" max="5130" width="10.140625" style="30" bestFit="1" customWidth="1"/>
    <col min="5131" max="5132" width="9.140625" style="30"/>
    <col min="5133" max="5133" width="13.7109375" style="30" customWidth="1"/>
    <col min="5134" max="5374" width="9.140625" style="30"/>
    <col min="5375" max="5375" width="3.140625" style="30" customWidth="1"/>
    <col min="5376" max="5376" width="13.5703125" style="30" customWidth="1"/>
    <col min="5377" max="5377" width="12.42578125" style="30" bestFit="1" customWidth="1"/>
    <col min="5378" max="5378" width="9.140625" style="30"/>
    <col min="5379" max="5379" width="11.7109375" style="30" customWidth="1"/>
    <col min="5380" max="5380" width="9.140625" style="30" customWidth="1"/>
    <col min="5381" max="5381" width="6.140625" style="30" customWidth="1"/>
    <col min="5382" max="5382" width="4.42578125" style="30" customWidth="1"/>
    <col min="5383" max="5383" width="15.85546875" style="30" customWidth="1"/>
    <col min="5384" max="5384" width="13.7109375" style="30" customWidth="1"/>
    <col min="5385" max="5385" width="12.28515625" style="30" customWidth="1"/>
    <col min="5386" max="5386" width="10.140625" style="30" bestFit="1" customWidth="1"/>
    <col min="5387" max="5388" width="9.140625" style="30"/>
    <col min="5389" max="5389" width="13.7109375" style="30" customWidth="1"/>
    <col min="5390" max="5630" width="9.140625" style="30"/>
    <col min="5631" max="5631" width="3.140625" style="30" customWidth="1"/>
    <col min="5632" max="5632" width="13.5703125" style="30" customWidth="1"/>
    <col min="5633" max="5633" width="12.42578125" style="30" bestFit="1" customWidth="1"/>
    <col min="5634" max="5634" width="9.140625" style="30"/>
    <col min="5635" max="5635" width="11.7109375" style="30" customWidth="1"/>
    <col min="5636" max="5636" width="9.140625" style="30" customWidth="1"/>
    <col min="5637" max="5637" width="6.140625" style="30" customWidth="1"/>
    <col min="5638" max="5638" width="4.42578125" style="30" customWidth="1"/>
    <col min="5639" max="5639" width="15.85546875" style="30" customWidth="1"/>
    <col min="5640" max="5640" width="13.7109375" style="30" customWidth="1"/>
    <col min="5641" max="5641" width="12.28515625" style="30" customWidth="1"/>
    <col min="5642" max="5642" width="10.140625" style="30" bestFit="1" customWidth="1"/>
    <col min="5643" max="5644" width="9.140625" style="30"/>
    <col min="5645" max="5645" width="13.7109375" style="30" customWidth="1"/>
    <col min="5646" max="5886" width="9.140625" style="30"/>
    <col min="5887" max="5887" width="3.140625" style="30" customWidth="1"/>
    <col min="5888" max="5888" width="13.5703125" style="30" customWidth="1"/>
    <col min="5889" max="5889" width="12.42578125" style="30" bestFit="1" customWidth="1"/>
    <col min="5890" max="5890" width="9.140625" style="30"/>
    <col min="5891" max="5891" width="11.7109375" style="30" customWidth="1"/>
    <col min="5892" max="5892" width="9.140625" style="30" customWidth="1"/>
    <col min="5893" max="5893" width="6.140625" style="30" customWidth="1"/>
    <col min="5894" max="5894" width="4.42578125" style="30" customWidth="1"/>
    <col min="5895" max="5895" width="15.85546875" style="30" customWidth="1"/>
    <col min="5896" max="5896" width="13.7109375" style="30" customWidth="1"/>
    <col min="5897" max="5897" width="12.28515625" style="30" customWidth="1"/>
    <col min="5898" max="5898" width="10.140625" style="30" bestFit="1" customWidth="1"/>
    <col min="5899" max="5900" width="9.140625" style="30"/>
    <col min="5901" max="5901" width="13.7109375" style="30" customWidth="1"/>
    <col min="5902" max="6142" width="9.140625" style="30"/>
    <col min="6143" max="6143" width="3.140625" style="30" customWidth="1"/>
    <col min="6144" max="6144" width="13.5703125" style="30" customWidth="1"/>
    <col min="6145" max="6145" width="12.42578125" style="30" bestFit="1" customWidth="1"/>
    <col min="6146" max="6146" width="9.140625" style="30"/>
    <col min="6147" max="6147" width="11.7109375" style="30" customWidth="1"/>
    <col min="6148" max="6148" width="9.140625" style="30" customWidth="1"/>
    <col min="6149" max="6149" width="6.140625" style="30" customWidth="1"/>
    <col min="6150" max="6150" width="4.42578125" style="30" customWidth="1"/>
    <col min="6151" max="6151" width="15.85546875" style="30" customWidth="1"/>
    <col min="6152" max="6152" width="13.7109375" style="30" customWidth="1"/>
    <col min="6153" max="6153" width="12.28515625" style="30" customWidth="1"/>
    <col min="6154" max="6154" width="10.140625" style="30" bestFit="1" customWidth="1"/>
    <col min="6155" max="6156" width="9.140625" style="30"/>
    <col min="6157" max="6157" width="13.7109375" style="30" customWidth="1"/>
    <col min="6158" max="6398" width="9.140625" style="30"/>
    <col min="6399" max="6399" width="3.140625" style="30" customWidth="1"/>
    <col min="6400" max="6400" width="13.5703125" style="30" customWidth="1"/>
    <col min="6401" max="6401" width="12.42578125" style="30" bestFit="1" customWidth="1"/>
    <col min="6402" max="6402" width="9.140625" style="30"/>
    <col min="6403" max="6403" width="11.7109375" style="30" customWidth="1"/>
    <col min="6404" max="6404" width="9.140625" style="30" customWidth="1"/>
    <col min="6405" max="6405" width="6.140625" style="30" customWidth="1"/>
    <col min="6406" max="6406" width="4.42578125" style="30" customWidth="1"/>
    <col min="6407" max="6407" width="15.85546875" style="30" customWidth="1"/>
    <col min="6408" max="6408" width="13.7109375" style="30" customWidth="1"/>
    <col min="6409" max="6409" width="12.28515625" style="30" customWidth="1"/>
    <col min="6410" max="6410" width="10.140625" style="30" bestFit="1" customWidth="1"/>
    <col min="6411" max="6412" width="9.140625" style="30"/>
    <col min="6413" max="6413" width="13.7109375" style="30" customWidth="1"/>
    <col min="6414" max="6654" width="9.140625" style="30"/>
    <col min="6655" max="6655" width="3.140625" style="30" customWidth="1"/>
    <col min="6656" max="6656" width="13.5703125" style="30" customWidth="1"/>
    <col min="6657" max="6657" width="12.42578125" style="30" bestFit="1" customWidth="1"/>
    <col min="6658" max="6658" width="9.140625" style="30"/>
    <col min="6659" max="6659" width="11.7109375" style="30" customWidth="1"/>
    <col min="6660" max="6660" width="9.140625" style="30" customWidth="1"/>
    <col min="6661" max="6661" width="6.140625" style="30" customWidth="1"/>
    <col min="6662" max="6662" width="4.42578125" style="30" customWidth="1"/>
    <col min="6663" max="6663" width="15.85546875" style="30" customWidth="1"/>
    <col min="6664" max="6664" width="13.7109375" style="30" customWidth="1"/>
    <col min="6665" max="6665" width="12.28515625" style="30" customWidth="1"/>
    <col min="6666" max="6666" width="10.140625" style="30" bestFit="1" customWidth="1"/>
    <col min="6667" max="6668" width="9.140625" style="30"/>
    <col min="6669" max="6669" width="13.7109375" style="30" customWidth="1"/>
    <col min="6670" max="6910" width="9.140625" style="30"/>
    <col min="6911" max="6911" width="3.140625" style="30" customWidth="1"/>
    <col min="6912" max="6912" width="13.5703125" style="30" customWidth="1"/>
    <col min="6913" max="6913" width="12.42578125" style="30" bestFit="1" customWidth="1"/>
    <col min="6914" max="6914" width="9.140625" style="30"/>
    <col min="6915" max="6915" width="11.7109375" style="30" customWidth="1"/>
    <col min="6916" max="6916" width="9.140625" style="30" customWidth="1"/>
    <col min="6917" max="6917" width="6.140625" style="30" customWidth="1"/>
    <col min="6918" max="6918" width="4.42578125" style="30" customWidth="1"/>
    <col min="6919" max="6919" width="15.85546875" style="30" customWidth="1"/>
    <col min="6920" max="6920" width="13.7109375" style="30" customWidth="1"/>
    <col min="6921" max="6921" width="12.28515625" style="30" customWidth="1"/>
    <col min="6922" max="6922" width="10.140625" style="30" bestFit="1" customWidth="1"/>
    <col min="6923" max="6924" width="9.140625" style="30"/>
    <col min="6925" max="6925" width="13.7109375" style="30" customWidth="1"/>
    <col min="6926" max="7166" width="9.140625" style="30"/>
    <col min="7167" max="7167" width="3.140625" style="30" customWidth="1"/>
    <col min="7168" max="7168" width="13.5703125" style="30" customWidth="1"/>
    <col min="7169" max="7169" width="12.42578125" style="30" bestFit="1" customWidth="1"/>
    <col min="7170" max="7170" width="9.140625" style="30"/>
    <col min="7171" max="7171" width="11.7109375" style="30" customWidth="1"/>
    <col min="7172" max="7172" width="9.140625" style="30" customWidth="1"/>
    <col min="7173" max="7173" width="6.140625" style="30" customWidth="1"/>
    <col min="7174" max="7174" width="4.42578125" style="30" customWidth="1"/>
    <col min="7175" max="7175" width="15.85546875" style="30" customWidth="1"/>
    <col min="7176" max="7176" width="13.7109375" style="30" customWidth="1"/>
    <col min="7177" max="7177" width="12.28515625" style="30" customWidth="1"/>
    <col min="7178" max="7178" width="10.140625" style="30" bestFit="1" customWidth="1"/>
    <col min="7179" max="7180" width="9.140625" style="30"/>
    <col min="7181" max="7181" width="13.7109375" style="30" customWidth="1"/>
    <col min="7182" max="7422" width="9.140625" style="30"/>
    <col min="7423" max="7423" width="3.140625" style="30" customWidth="1"/>
    <col min="7424" max="7424" width="13.5703125" style="30" customWidth="1"/>
    <col min="7425" max="7425" width="12.42578125" style="30" bestFit="1" customWidth="1"/>
    <col min="7426" max="7426" width="9.140625" style="30"/>
    <col min="7427" max="7427" width="11.7109375" style="30" customWidth="1"/>
    <col min="7428" max="7428" width="9.140625" style="30" customWidth="1"/>
    <col min="7429" max="7429" width="6.140625" style="30" customWidth="1"/>
    <col min="7430" max="7430" width="4.42578125" style="30" customWidth="1"/>
    <col min="7431" max="7431" width="15.85546875" style="30" customWidth="1"/>
    <col min="7432" max="7432" width="13.7109375" style="30" customWidth="1"/>
    <col min="7433" max="7433" width="12.28515625" style="30" customWidth="1"/>
    <col min="7434" max="7434" width="10.140625" style="30" bestFit="1" customWidth="1"/>
    <col min="7435" max="7436" width="9.140625" style="30"/>
    <col min="7437" max="7437" width="13.7109375" style="30" customWidth="1"/>
    <col min="7438" max="7678" width="9.140625" style="30"/>
    <col min="7679" max="7679" width="3.140625" style="30" customWidth="1"/>
    <col min="7680" max="7680" width="13.5703125" style="30" customWidth="1"/>
    <col min="7681" max="7681" width="12.42578125" style="30" bestFit="1" customWidth="1"/>
    <col min="7682" max="7682" width="9.140625" style="30"/>
    <col min="7683" max="7683" width="11.7109375" style="30" customWidth="1"/>
    <col min="7684" max="7684" width="9.140625" style="30" customWidth="1"/>
    <col min="7685" max="7685" width="6.140625" style="30" customWidth="1"/>
    <col min="7686" max="7686" width="4.42578125" style="30" customWidth="1"/>
    <col min="7687" max="7687" width="15.85546875" style="30" customWidth="1"/>
    <col min="7688" max="7688" width="13.7109375" style="30" customWidth="1"/>
    <col min="7689" max="7689" width="12.28515625" style="30" customWidth="1"/>
    <col min="7690" max="7690" width="10.140625" style="30" bestFit="1" customWidth="1"/>
    <col min="7691" max="7692" width="9.140625" style="30"/>
    <col min="7693" max="7693" width="13.7109375" style="30" customWidth="1"/>
    <col min="7694" max="7934" width="9.140625" style="30"/>
    <col min="7935" max="7935" width="3.140625" style="30" customWidth="1"/>
    <col min="7936" max="7936" width="13.5703125" style="30" customWidth="1"/>
    <col min="7937" max="7937" width="12.42578125" style="30" bestFit="1" customWidth="1"/>
    <col min="7938" max="7938" width="9.140625" style="30"/>
    <col min="7939" max="7939" width="11.7109375" style="30" customWidth="1"/>
    <col min="7940" max="7940" width="9.140625" style="30" customWidth="1"/>
    <col min="7941" max="7941" width="6.140625" style="30" customWidth="1"/>
    <col min="7942" max="7942" width="4.42578125" style="30" customWidth="1"/>
    <col min="7943" max="7943" width="15.85546875" style="30" customWidth="1"/>
    <col min="7944" max="7944" width="13.7109375" style="30" customWidth="1"/>
    <col min="7945" max="7945" width="12.28515625" style="30" customWidth="1"/>
    <col min="7946" max="7946" width="10.140625" style="30" bestFit="1" customWidth="1"/>
    <col min="7947" max="7948" width="9.140625" style="30"/>
    <col min="7949" max="7949" width="13.7109375" style="30" customWidth="1"/>
    <col min="7950" max="8190" width="9.140625" style="30"/>
    <col min="8191" max="8191" width="3.140625" style="30" customWidth="1"/>
    <col min="8192" max="8192" width="13.5703125" style="30" customWidth="1"/>
    <col min="8193" max="8193" width="12.42578125" style="30" bestFit="1" customWidth="1"/>
    <col min="8194" max="8194" width="9.140625" style="30"/>
    <col min="8195" max="8195" width="11.7109375" style="30" customWidth="1"/>
    <col min="8196" max="8196" width="9.140625" style="30" customWidth="1"/>
    <col min="8197" max="8197" width="6.140625" style="30" customWidth="1"/>
    <col min="8198" max="8198" width="4.42578125" style="30" customWidth="1"/>
    <col min="8199" max="8199" width="15.85546875" style="30" customWidth="1"/>
    <col min="8200" max="8200" width="13.7109375" style="30" customWidth="1"/>
    <col min="8201" max="8201" width="12.28515625" style="30" customWidth="1"/>
    <col min="8202" max="8202" width="10.140625" style="30" bestFit="1" customWidth="1"/>
    <col min="8203" max="8204" width="9.140625" style="30"/>
    <col min="8205" max="8205" width="13.7109375" style="30" customWidth="1"/>
    <col min="8206" max="8446" width="9.140625" style="30"/>
    <col min="8447" max="8447" width="3.140625" style="30" customWidth="1"/>
    <col min="8448" max="8448" width="13.5703125" style="30" customWidth="1"/>
    <col min="8449" max="8449" width="12.42578125" style="30" bestFit="1" customWidth="1"/>
    <col min="8450" max="8450" width="9.140625" style="30"/>
    <col min="8451" max="8451" width="11.7109375" style="30" customWidth="1"/>
    <col min="8452" max="8452" width="9.140625" style="30" customWidth="1"/>
    <col min="8453" max="8453" width="6.140625" style="30" customWidth="1"/>
    <col min="8454" max="8454" width="4.42578125" style="30" customWidth="1"/>
    <col min="8455" max="8455" width="15.85546875" style="30" customWidth="1"/>
    <col min="8456" max="8456" width="13.7109375" style="30" customWidth="1"/>
    <col min="8457" max="8457" width="12.28515625" style="30" customWidth="1"/>
    <col min="8458" max="8458" width="10.140625" style="30" bestFit="1" customWidth="1"/>
    <col min="8459" max="8460" width="9.140625" style="30"/>
    <col min="8461" max="8461" width="13.7109375" style="30" customWidth="1"/>
    <col min="8462" max="8702" width="9.140625" style="30"/>
    <col min="8703" max="8703" width="3.140625" style="30" customWidth="1"/>
    <col min="8704" max="8704" width="13.5703125" style="30" customWidth="1"/>
    <col min="8705" max="8705" width="12.42578125" style="30" bestFit="1" customWidth="1"/>
    <col min="8706" max="8706" width="9.140625" style="30"/>
    <col min="8707" max="8707" width="11.7109375" style="30" customWidth="1"/>
    <col min="8708" max="8708" width="9.140625" style="30" customWidth="1"/>
    <col min="8709" max="8709" width="6.140625" style="30" customWidth="1"/>
    <col min="8710" max="8710" width="4.42578125" style="30" customWidth="1"/>
    <col min="8711" max="8711" width="15.85546875" style="30" customWidth="1"/>
    <col min="8712" max="8712" width="13.7109375" style="30" customWidth="1"/>
    <col min="8713" max="8713" width="12.28515625" style="30" customWidth="1"/>
    <col min="8714" max="8714" width="10.140625" style="30" bestFit="1" customWidth="1"/>
    <col min="8715" max="8716" width="9.140625" style="30"/>
    <col min="8717" max="8717" width="13.7109375" style="30" customWidth="1"/>
    <col min="8718" max="8958" width="9.140625" style="30"/>
    <col min="8959" max="8959" width="3.140625" style="30" customWidth="1"/>
    <col min="8960" max="8960" width="13.5703125" style="30" customWidth="1"/>
    <col min="8961" max="8961" width="12.42578125" style="30" bestFit="1" customWidth="1"/>
    <col min="8962" max="8962" width="9.140625" style="30"/>
    <col min="8963" max="8963" width="11.7109375" style="30" customWidth="1"/>
    <col min="8964" max="8964" width="9.140625" style="30" customWidth="1"/>
    <col min="8965" max="8965" width="6.140625" style="30" customWidth="1"/>
    <col min="8966" max="8966" width="4.42578125" style="30" customWidth="1"/>
    <col min="8967" max="8967" width="15.85546875" style="30" customWidth="1"/>
    <col min="8968" max="8968" width="13.7109375" style="30" customWidth="1"/>
    <col min="8969" max="8969" width="12.28515625" style="30" customWidth="1"/>
    <col min="8970" max="8970" width="10.140625" style="30" bestFit="1" customWidth="1"/>
    <col min="8971" max="8972" width="9.140625" style="30"/>
    <col min="8973" max="8973" width="13.7109375" style="30" customWidth="1"/>
    <col min="8974" max="9214" width="9.140625" style="30"/>
    <col min="9215" max="9215" width="3.140625" style="30" customWidth="1"/>
    <col min="9216" max="9216" width="13.5703125" style="30" customWidth="1"/>
    <col min="9217" max="9217" width="12.42578125" style="30" bestFit="1" customWidth="1"/>
    <col min="9218" max="9218" width="9.140625" style="30"/>
    <col min="9219" max="9219" width="11.7109375" style="30" customWidth="1"/>
    <col min="9220" max="9220" width="9.140625" style="30" customWidth="1"/>
    <col min="9221" max="9221" width="6.140625" style="30" customWidth="1"/>
    <col min="9222" max="9222" width="4.42578125" style="30" customWidth="1"/>
    <col min="9223" max="9223" width="15.85546875" style="30" customWidth="1"/>
    <col min="9224" max="9224" width="13.7109375" style="30" customWidth="1"/>
    <col min="9225" max="9225" width="12.28515625" style="30" customWidth="1"/>
    <col min="9226" max="9226" width="10.140625" style="30" bestFit="1" customWidth="1"/>
    <col min="9227" max="9228" width="9.140625" style="30"/>
    <col min="9229" max="9229" width="13.7109375" style="30" customWidth="1"/>
    <col min="9230" max="9470" width="9.140625" style="30"/>
    <col min="9471" max="9471" width="3.140625" style="30" customWidth="1"/>
    <col min="9472" max="9472" width="13.5703125" style="30" customWidth="1"/>
    <col min="9473" max="9473" width="12.42578125" style="30" bestFit="1" customWidth="1"/>
    <col min="9474" max="9474" width="9.140625" style="30"/>
    <col min="9475" max="9475" width="11.7109375" style="30" customWidth="1"/>
    <col min="9476" max="9476" width="9.140625" style="30" customWidth="1"/>
    <col min="9477" max="9477" width="6.140625" style="30" customWidth="1"/>
    <col min="9478" max="9478" width="4.42578125" style="30" customWidth="1"/>
    <col min="9479" max="9479" width="15.85546875" style="30" customWidth="1"/>
    <col min="9480" max="9480" width="13.7109375" style="30" customWidth="1"/>
    <col min="9481" max="9481" width="12.28515625" style="30" customWidth="1"/>
    <col min="9482" max="9482" width="10.140625" style="30" bestFit="1" customWidth="1"/>
    <col min="9483" max="9484" width="9.140625" style="30"/>
    <col min="9485" max="9485" width="13.7109375" style="30" customWidth="1"/>
    <col min="9486" max="9726" width="9.140625" style="30"/>
    <col min="9727" max="9727" width="3.140625" style="30" customWidth="1"/>
    <col min="9728" max="9728" width="13.5703125" style="30" customWidth="1"/>
    <col min="9729" max="9729" width="12.42578125" style="30" bestFit="1" customWidth="1"/>
    <col min="9730" max="9730" width="9.140625" style="30"/>
    <col min="9731" max="9731" width="11.7109375" style="30" customWidth="1"/>
    <col min="9732" max="9732" width="9.140625" style="30" customWidth="1"/>
    <col min="9733" max="9733" width="6.140625" style="30" customWidth="1"/>
    <col min="9734" max="9734" width="4.42578125" style="30" customWidth="1"/>
    <col min="9735" max="9735" width="15.85546875" style="30" customWidth="1"/>
    <col min="9736" max="9736" width="13.7109375" style="30" customWidth="1"/>
    <col min="9737" max="9737" width="12.28515625" style="30" customWidth="1"/>
    <col min="9738" max="9738" width="10.140625" style="30" bestFit="1" customWidth="1"/>
    <col min="9739" max="9740" width="9.140625" style="30"/>
    <col min="9741" max="9741" width="13.7109375" style="30" customWidth="1"/>
    <col min="9742" max="9982" width="9.140625" style="30"/>
    <col min="9983" max="9983" width="3.140625" style="30" customWidth="1"/>
    <col min="9984" max="9984" width="13.5703125" style="30" customWidth="1"/>
    <col min="9985" max="9985" width="12.42578125" style="30" bestFit="1" customWidth="1"/>
    <col min="9986" max="9986" width="9.140625" style="30"/>
    <col min="9987" max="9987" width="11.7109375" style="30" customWidth="1"/>
    <col min="9988" max="9988" width="9.140625" style="30" customWidth="1"/>
    <col min="9989" max="9989" width="6.140625" style="30" customWidth="1"/>
    <col min="9990" max="9990" width="4.42578125" style="30" customWidth="1"/>
    <col min="9991" max="9991" width="15.85546875" style="30" customWidth="1"/>
    <col min="9992" max="9992" width="13.7109375" style="30" customWidth="1"/>
    <col min="9993" max="9993" width="12.28515625" style="30" customWidth="1"/>
    <col min="9994" max="9994" width="10.140625" style="30" bestFit="1" customWidth="1"/>
    <col min="9995" max="9996" width="9.140625" style="30"/>
    <col min="9997" max="9997" width="13.7109375" style="30" customWidth="1"/>
    <col min="9998" max="10238" width="9.140625" style="30"/>
    <col min="10239" max="10239" width="3.140625" style="30" customWidth="1"/>
    <col min="10240" max="10240" width="13.5703125" style="30" customWidth="1"/>
    <col min="10241" max="10241" width="12.42578125" style="30" bestFit="1" customWidth="1"/>
    <col min="10242" max="10242" width="9.140625" style="30"/>
    <col min="10243" max="10243" width="11.7109375" style="30" customWidth="1"/>
    <col min="10244" max="10244" width="9.140625" style="30" customWidth="1"/>
    <col min="10245" max="10245" width="6.140625" style="30" customWidth="1"/>
    <col min="10246" max="10246" width="4.42578125" style="30" customWidth="1"/>
    <col min="10247" max="10247" width="15.85546875" style="30" customWidth="1"/>
    <col min="10248" max="10248" width="13.7109375" style="30" customWidth="1"/>
    <col min="10249" max="10249" width="12.28515625" style="30" customWidth="1"/>
    <col min="10250" max="10250" width="10.140625" style="30" bestFit="1" customWidth="1"/>
    <col min="10251" max="10252" width="9.140625" style="30"/>
    <col min="10253" max="10253" width="13.7109375" style="30" customWidth="1"/>
    <col min="10254" max="10494" width="9.140625" style="30"/>
    <col min="10495" max="10495" width="3.140625" style="30" customWidth="1"/>
    <col min="10496" max="10496" width="13.5703125" style="30" customWidth="1"/>
    <col min="10497" max="10497" width="12.42578125" style="30" bestFit="1" customWidth="1"/>
    <col min="10498" max="10498" width="9.140625" style="30"/>
    <col min="10499" max="10499" width="11.7109375" style="30" customWidth="1"/>
    <col min="10500" max="10500" width="9.140625" style="30" customWidth="1"/>
    <col min="10501" max="10501" width="6.140625" style="30" customWidth="1"/>
    <col min="10502" max="10502" width="4.42578125" style="30" customWidth="1"/>
    <col min="10503" max="10503" width="15.85546875" style="30" customWidth="1"/>
    <col min="10504" max="10504" width="13.7109375" style="30" customWidth="1"/>
    <col min="10505" max="10505" width="12.28515625" style="30" customWidth="1"/>
    <col min="10506" max="10506" width="10.140625" style="30" bestFit="1" customWidth="1"/>
    <col min="10507" max="10508" width="9.140625" style="30"/>
    <col min="10509" max="10509" width="13.7109375" style="30" customWidth="1"/>
    <col min="10510" max="10750" width="9.140625" style="30"/>
    <col min="10751" max="10751" width="3.140625" style="30" customWidth="1"/>
    <col min="10752" max="10752" width="13.5703125" style="30" customWidth="1"/>
    <col min="10753" max="10753" width="12.42578125" style="30" bestFit="1" customWidth="1"/>
    <col min="10754" max="10754" width="9.140625" style="30"/>
    <col min="10755" max="10755" width="11.7109375" style="30" customWidth="1"/>
    <col min="10756" max="10756" width="9.140625" style="30" customWidth="1"/>
    <col min="10757" max="10757" width="6.140625" style="30" customWidth="1"/>
    <col min="10758" max="10758" width="4.42578125" style="30" customWidth="1"/>
    <col min="10759" max="10759" width="15.85546875" style="30" customWidth="1"/>
    <col min="10760" max="10760" width="13.7109375" style="30" customWidth="1"/>
    <col min="10761" max="10761" width="12.28515625" style="30" customWidth="1"/>
    <col min="10762" max="10762" width="10.140625" style="30" bestFit="1" customWidth="1"/>
    <col min="10763" max="10764" width="9.140625" style="30"/>
    <col min="10765" max="10765" width="13.7109375" style="30" customWidth="1"/>
    <col min="10766" max="11006" width="9.140625" style="30"/>
    <col min="11007" max="11007" width="3.140625" style="30" customWidth="1"/>
    <col min="11008" max="11008" width="13.5703125" style="30" customWidth="1"/>
    <col min="11009" max="11009" width="12.42578125" style="30" bestFit="1" customWidth="1"/>
    <col min="11010" max="11010" width="9.140625" style="30"/>
    <col min="11011" max="11011" width="11.7109375" style="30" customWidth="1"/>
    <col min="11012" max="11012" width="9.140625" style="30" customWidth="1"/>
    <col min="11013" max="11013" width="6.140625" style="30" customWidth="1"/>
    <col min="11014" max="11014" width="4.42578125" style="30" customWidth="1"/>
    <col min="11015" max="11015" width="15.85546875" style="30" customWidth="1"/>
    <col min="11016" max="11016" width="13.7109375" style="30" customWidth="1"/>
    <col min="11017" max="11017" width="12.28515625" style="30" customWidth="1"/>
    <col min="11018" max="11018" width="10.140625" style="30" bestFit="1" customWidth="1"/>
    <col min="11019" max="11020" width="9.140625" style="30"/>
    <col min="11021" max="11021" width="13.7109375" style="30" customWidth="1"/>
    <col min="11022" max="11262" width="9.140625" style="30"/>
    <col min="11263" max="11263" width="3.140625" style="30" customWidth="1"/>
    <col min="11264" max="11264" width="13.5703125" style="30" customWidth="1"/>
    <col min="11265" max="11265" width="12.42578125" style="30" bestFit="1" customWidth="1"/>
    <col min="11266" max="11266" width="9.140625" style="30"/>
    <col min="11267" max="11267" width="11.7109375" style="30" customWidth="1"/>
    <col min="11268" max="11268" width="9.140625" style="30" customWidth="1"/>
    <col min="11269" max="11269" width="6.140625" style="30" customWidth="1"/>
    <col min="11270" max="11270" width="4.42578125" style="30" customWidth="1"/>
    <col min="11271" max="11271" width="15.85546875" style="30" customWidth="1"/>
    <col min="11272" max="11272" width="13.7109375" style="30" customWidth="1"/>
    <col min="11273" max="11273" width="12.28515625" style="30" customWidth="1"/>
    <col min="11274" max="11274" width="10.140625" style="30" bestFit="1" customWidth="1"/>
    <col min="11275" max="11276" width="9.140625" style="30"/>
    <col min="11277" max="11277" width="13.7109375" style="30" customWidth="1"/>
    <col min="11278" max="11518" width="9.140625" style="30"/>
    <col min="11519" max="11519" width="3.140625" style="30" customWidth="1"/>
    <col min="11520" max="11520" width="13.5703125" style="30" customWidth="1"/>
    <col min="11521" max="11521" width="12.42578125" style="30" bestFit="1" customWidth="1"/>
    <col min="11522" max="11522" width="9.140625" style="30"/>
    <col min="11523" max="11523" width="11.7109375" style="30" customWidth="1"/>
    <col min="11524" max="11524" width="9.140625" style="30" customWidth="1"/>
    <col min="11525" max="11525" width="6.140625" style="30" customWidth="1"/>
    <col min="11526" max="11526" width="4.42578125" style="30" customWidth="1"/>
    <col min="11527" max="11527" width="15.85546875" style="30" customWidth="1"/>
    <col min="11528" max="11528" width="13.7109375" style="30" customWidth="1"/>
    <col min="11529" max="11529" width="12.28515625" style="30" customWidth="1"/>
    <col min="11530" max="11530" width="10.140625" style="30" bestFit="1" customWidth="1"/>
    <col min="11531" max="11532" width="9.140625" style="30"/>
    <col min="11533" max="11533" width="13.7109375" style="30" customWidth="1"/>
    <col min="11534" max="11774" width="9.140625" style="30"/>
    <col min="11775" max="11775" width="3.140625" style="30" customWidth="1"/>
    <col min="11776" max="11776" width="13.5703125" style="30" customWidth="1"/>
    <col min="11777" max="11777" width="12.42578125" style="30" bestFit="1" customWidth="1"/>
    <col min="11778" max="11778" width="9.140625" style="30"/>
    <col min="11779" max="11779" width="11.7109375" style="30" customWidth="1"/>
    <col min="11780" max="11780" width="9.140625" style="30" customWidth="1"/>
    <col min="11781" max="11781" width="6.140625" style="30" customWidth="1"/>
    <col min="11782" max="11782" width="4.42578125" style="30" customWidth="1"/>
    <col min="11783" max="11783" width="15.85546875" style="30" customWidth="1"/>
    <col min="11784" max="11784" width="13.7109375" style="30" customWidth="1"/>
    <col min="11785" max="11785" width="12.28515625" style="30" customWidth="1"/>
    <col min="11786" max="11786" width="10.140625" style="30" bestFit="1" customWidth="1"/>
    <col min="11787" max="11788" width="9.140625" style="30"/>
    <col min="11789" max="11789" width="13.7109375" style="30" customWidth="1"/>
    <col min="11790" max="12030" width="9.140625" style="30"/>
    <col min="12031" max="12031" width="3.140625" style="30" customWidth="1"/>
    <col min="12032" max="12032" width="13.5703125" style="30" customWidth="1"/>
    <col min="12033" max="12033" width="12.42578125" style="30" bestFit="1" customWidth="1"/>
    <col min="12034" max="12034" width="9.140625" style="30"/>
    <col min="12035" max="12035" width="11.7109375" style="30" customWidth="1"/>
    <col min="12036" max="12036" width="9.140625" style="30" customWidth="1"/>
    <col min="12037" max="12037" width="6.140625" style="30" customWidth="1"/>
    <col min="12038" max="12038" width="4.42578125" style="30" customWidth="1"/>
    <col min="12039" max="12039" width="15.85546875" style="30" customWidth="1"/>
    <col min="12040" max="12040" width="13.7109375" style="30" customWidth="1"/>
    <col min="12041" max="12041" width="12.28515625" style="30" customWidth="1"/>
    <col min="12042" max="12042" width="10.140625" style="30" bestFit="1" customWidth="1"/>
    <col min="12043" max="12044" width="9.140625" style="30"/>
    <col min="12045" max="12045" width="13.7109375" style="30" customWidth="1"/>
    <col min="12046" max="12286" width="9.140625" style="30"/>
    <col min="12287" max="12287" width="3.140625" style="30" customWidth="1"/>
    <col min="12288" max="12288" width="13.5703125" style="30" customWidth="1"/>
    <col min="12289" max="12289" width="12.42578125" style="30" bestFit="1" customWidth="1"/>
    <col min="12290" max="12290" width="9.140625" style="30"/>
    <col min="12291" max="12291" width="11.7109375" style="30" customWidth="1"/>
    <col min="12292" max="12292" width="9.140625" style="30" customWidth="1"/>
    <col min="12293" max="12293" width="6.140625" style="30" customWidth="1"/>
    <col min="12294" max="12294" width="4.42578125" style="30" customWidth="1"/>
    <col min="12295" max="12295" width="15.85546875" style="30" customWidth="1"/>
    <col min="12296" max="12296" width="13.7109375" style="30" customWidth="1"/>
    <col min="12297" max="12297" width="12.28515625" style="30" customWidth="1"/>
    <col min="12298" max="12298" width="10.140625" style="30" bestFit="1" customWidth="1"/>
    <col min="12299" max="12300" width="9.140625" style="30"/>
    <col min="12301" max="12301" width="13.7109375" style="30" customWidth="1"/>
    <col min="12302" max="12542" width="9.140625" style="30"/>
    <col min="12543" max="12543" width="3.140625" style="30" customWidth="1"/>
    <col min="12544" max="12544" width="13.5703125" style="30" customWidth="1"/>
    <col min="12545" max="12545" width="12.42578125" style="30" bestFit="1" customWidth="1"/>
    <col min="12546" max="12546" width="9.140625" style="30"/>
    <col min="12547" max="12547" width="11.7109375" style="30" customWidth="1"/>
    <col min="12548" max="12548" width="9.140625" style="30" customWidth="1"/>
    <col min="12549" max="12549" width="6.140625" style="30" customWidth="1"/>
    <col min="12550" max="12550" width="4.42578125" style="30" customWidth="1"/>
    <col min="12551" max="12551" width="15.85546875" style="30" customWidth="1"/>
    <col min="12552" max="12552" width="13.7109375" style="30" customWidth="1"/>
    <col min="12553" max="12553" width="12.28515625" style="30" customWidth="1"/>
    <col min="12554" max="12554" width="10.140625" style="30" bestFit="1" customWidth="1"/>
    <col min="12555" max="12556" width="9.140625" style="30"/>
    <col min="12557" max="12557" width="13.7109375" style="30" customWidth="1"/>
    <col min="12558" max="12798" width="9.140625" style="30"/>
    <col min="12799" max="12799" width="3.140625" style="30" customWidth="1"/>
    <col min="12800" max="12800" width="13.5703125" style="30" customWidth="1"/>
    <col min="12801" max="12801" width="12.42578125" style="30" bestFit="1" customWidth="1"/>
    <col min="12802" max="12802" width="9.140625" style="30"/>
    <col min="12803" max="12803" width="11.7109375" style="30" customWidth="1"/>
    <col min="12804" max="12804" width="9.140625" style="30" customWidth="1"/>
    <col min="12805" max="12805" width="6.140625" style="30" customWidth="1"/>
    <col min="12806" max="12806" width="4.42578125" style="30" customWidth="1"/>
    <col min="12807" max="12807" width="15.85546875" style="30" customWidth="1"/>
    <col min="12808" max="12808" width="13.7109375" style="30" customWidth="1"/>
    <col min="12809" max="12809" width="12.28515625" style="30" customWidth="1"/>
    <col min="12810" max="12810" width="10.140625" style="30" bestFit="1" customWidth="1"/>
    <col min="12811" max="12812" width="9.140625" style="30"/>
    <col min="12813" max="12813" width="13.7109375" style="30" customWidth="1"/>
    <col min="12814" max="13054" width="9.140625" style="30"/>
    <col min="13055" max="13055" width="3.140625" style="30" customWidth="1"/>
    <col min="13056" max="13056" width="13.5703125" style="30" customWidth="1"/>
    <col min="13057" max="13057" width="12.42578125" style="30" bestFit="1" customWidth="1"/>
    <col min="13058" max="13058" width="9.140625" style="30"/>
    <col min="13059" max="13059" width="11.7109375" style="30" customWidth="1"/>
    <col min="13060" max="13060" width="9.140625" style="30" customWidth="1"/>
    <col min="13061" max="13061" width="6.140625" style="30" customWidth="1"/>
    <col min="13062" max="13062" width="4.42578125" style="30" customWidth="1"/>
    <col min="13063" max="13063" width="15.85546875" style="30" customWidth="1"/>
    <col min="13064" max="13064" width="13.7109375" style="30" customWidth="1"/>
    <col min="13065" max="13065" width="12.28515625" style="30" customWidth="1"/>
    <col min="13066" max="13066" width="10.140625" style="30" bestFit="1" customWidth="1"/>
    <col min="13067" max="13068" width="9.140625" style="30"/>
    <col min="13069" max="13069" width="13.7109375" style="30" customWidth="1"/>
    <col min="13070" max="13310" width="9.140625" style="30"/>
    <col min="13311" max="13311" width="3.140625" style="30" customWidth="1"/>
    <col min="13312" max="13312" width="13.5703125" style="30" customWidth="1"/>
    <col min="13313" max="13313" width="12.42578125" style="30" bestFit="1" customWidth="1"/>
    <col min="13314" max="13314" width="9.140625" style="30"/>
    <col min="13315" max="13315" width="11.7109375" style="30" customWidth="1"/>
    <col min="13316" max="13316" width="9.140625" style="30" customWidth="1"/>
    <col min="13317" max="13317" width="6.140625" style="30" customWidth="1"/>
    <col min="13318" max="13318" width="4.42578125" style="30" customWidth="1"/>
    <col min="13319" max="13319" width="15.85546875" style="30" customWidth="1"/>
    <col min="13320" max="13320" width="13.7109375" style="30" customWidth="1"/>
    <col min="13321" max="13321" width="12.28515625" style="30" customWidth="1"/>
    <col min="13322" max="13322" width="10.140625" style="30" bestFit="1" customWidth="1"/>
    <col min="13323" max="13324" width="9.140625" style="30"/>
    <col min="13325" max="13325" width="13.7109375" style="30" customWidth="1"/>
    <col min="13326" max="13566" width="9.140625" style="30"/>
    <col min="13567" max="13567" width="3.140625" style="30" customWidth="1"/>
    <col min="13568" max="13568" width="13.5703125" style="30" customWidth="1"/>
    <col min="13569" max="13569" width="12.42578125" style="30" bestFit="1" customWidth="1"/>
    <col min="13570" max="13570" width="9.140625" style="30"/>
    <col min="13571" max="13571" width="11.7109375" style="30" customWidth="1"/>
    <col min="13572" max="13572" width="9.140625" style="30" customWidth="1"/>
    <col min="13573" max="13573" width="6.140625" style="30" customWidth="1"/>
    <col min="13574" max="13574" width="4.42578125" style="30" customWidth="1"/>
    <col min="13575" max="13575" width="15.85546875" style="30" customWidth="1"/>
    <col min="13576" max="13576" width="13.7109375" style="30" customWidth="1"/>
    <col min="13577" max="13577" width="12.28515625" style="30" customWidth="1"/>
    <col min="13578" max="13578" width="10.140625" style="30" bestFit="1" customWidth="1"/>
    <col min="13579" max="13580" width="9.140625" style="30"/>
    <col min="13581" max="13581" width="13.7109375" style="30" customWidth="1"/>
    <col min="13582" max="13822" width="9.140625" style="30"/>
    <col min="13823" max="13823" width="3.140625" style="30" customWidth="1"/>
    <col min="13824" max="13824" width="13.5703125" style="30" customWidth="1"/>
    <col min="13825" max="13825" width="12.42578125" style="30" bestFit="1" customWidth="1"/>
    <col min="13826" max="13826" width="9.140625" style="30"/>
    <col min="13827" max="13827" width="11.7109375" style="30" customWidth="1"/>
    <col min="13828" max="13828" width="9.140625" style="30" customWidth="1"/>
    <col min="13829" max="13829" width="6.140625" style="30" customWidth="1"/>
    <col min="13830" max="13830" width="4.42578125" style="30" customWidth="1"/>
    <col min="13831" max="13831" width="15.85546875" style="30" customWidth="1"/>
    <col min="13832" max="13832" width="13.7109375" style="30" customWidth="1"/>
    <col min="13833" max="13833" width="12.28515625" style="30" customWidth="1"/>
    <col min="13834" max="13834" width="10.140625" style="30" bestFit="1" customWidth="1"/>
    <col min="13835" max="13836" width="9.140625" style="30"/>
    <col min="13837" max="13837" width="13.7109375" style="30" customWidth="1"/>
    <col min="13838" max="14078" width="9.140625" style="30"/>
    <col min="14079" max="14079" width="3.140625" style="30" customWidth="1"/>
    <col min="14080" max="14080" width="13.5703125" style="30" customWidth="1"/>
    <col min="14081" max="14081" width="12.42578125" style="30" bestFit="1" customWidth="1"/>
    <col min="14082" max="14082" width="9.140625" style="30"/>
    <col min="14083" max="14083" width="11.7109375" style="30" customWidth="1"/>
    <col min="14084" max="14084" width="9.140625" style="30" customWidth="1"/>
    <col min="14085" max="14085" width="6.140625" style="30" customWidth="1"/>
    <col min="14086" max="14086" width="4.42578125" style="30" customWidth="1"/>
    <col min="14087" max="14087" width="15.85546875" style="30" customWidth="1"/>
    <col min="14088" max="14088" width="13.7109375" style="30" customWidth="1"/>
    <col min="14089" max="14089" width="12.28515625" style="30" customWidth="1"/>
    <col min="14090" max="14090" width="10.140625" style="30" bestFit="1" customWidth="1"/>
    <col min="14091" max="14092" width="9.140625" style="30"/>
    <col min="14093" max="14093" width="13.7109375" style="30" customWidth="1"/>
    <col min="14094" max="14334" width="9.140625" style="30"/>
    <col min="14335" max="14335" width="3.140625" style="30" customWidth="1"/>
    <col min="14336" max="14336" width="13.5703125" style="30" customWidth="1"/>
    <col min="14337" max="14337" width="12.42578125" style="30" bestFit="1" customWidth="1"/>
    <col min="14338" max="14338" width="9.140625" style="30"/>
    <col min="14339" max="14339" width="11.7109375" style="30" customWidth="1"/>
    <col min="14340" max="14340" width="9.140625" style="30" customWidth="1"/>
    <col min="14341" max="14341" width="6.140625" style="30" customWidth="1"/>
    <col min="14342" max="14342" width="4.42578125" style="30" customWidth="1"/>
    <col min="14343" max="14343" width="15.85546875" style="30" customWidth="1"/>
    <col min="14344" max="14344" width="13.7109375" style="30" customWidth="1"/>
    <col min="14345" max="14345" width="12.28515625" style="30" customWidth="1"/>
    <col min="14346" max="14346" width="10.140625" style="30" bestFit="1" customWidth="1"/>
    <col min="14347" max="14348" width="9.140625" style="30"/>
    <col min="14349" max="14349" width="13.7109375" style="30" customWidth="1"/>
    <col min="14350" max="14590" width="9.140625" style="30"/>
    <col min="14591" max="14591" width="3.140625" style="30" customWidth="1"/>
    <col min="14592" max="14592" width="13.5703125" style="30" customWidth="1"/>
    <col min="14593" max="14593" width="12.42578125" style="30" bestFit="1" customWidth="1"/>
    <col min="14594" max="14594" width="9.140625" style="30"/>
    <col min="14595" max="14595" width="11.7109375" style="30" customWidth="1"/>
    <col min="14596" max="14596" width="9.140625" style="30" customWidth="1"/>
    <col min="14597" max="14597" width="6.140625" style="30" customWidth="1"/>
    <col min="14598" max="14598" width="4.42578125" style="30" customWidth="1"/>
    <col min="14599" max="14599" width="15.85546875" style="30" customWidth="1"/>
    <col min="14600" max="14600" width="13.7109375" style="30" customWidth="1"/>
    <col min="14601" max="14601" width="12.28515625" style="30" customWidth="1"/>
    <col min="14602" max="14602" width="10.140625" style="30" bestFit="1" customWidth="1"/>
    <col min="14603" max="14604" width="9.140625" style="30"/>
    <col min="14605" max="14605" width="13.7109375" style="30" customWidth="1"/>
    <col min="14606" max="14846" width="9.140625" style="30"/>
    <col min="14847" max="14847" width="3.140625" style="30" customWidth="1"/>
    <col min="14848" max="14848" width="13.5703125" style="30" customWidth="1"/>
    <col min="14849" max="14849" width="12.42578125" style="30" bestFit="1" customWidth="1"/>
    <col min="14850" max="14850" width="9.140625" style="30"/>
    <col min="14851" max="14851" width="11.7109375" style="30" customWidth="1"/>
    <col min="14852" max="14852" width="9.140625" style="30" customWidth="1"/>
    <col min="14853" max="14853" width="6.140625" style="30" customWidth="1"/>
    <col min="14854" max="14854" width="4.42578125" style="30" customWidth="1"/>
    <col min="14855" max="14855" width="15.85546875" style="30" customWidth="1"/>
    <col min="14856" max="14856" width="13.7109375" style="30" customWidth="1"/>
    <col min="14857" max="14857" width="12.28515625" style="30" customWidth="1"/>
    <col min="14858" max="14858" width="10.140625" style="30" bestFit="1" customWidth="1"/>
    <col min="14859" max="14860" width="9.140625" style="30"/>
    <col min="14861" max="14861" width="13.7109375" style="30" customWidth="1"/>
    <col min="14862" max="15102" width="9.140625" style="30"/>
    <col min="15103" max="15103" width="3.140625" style="30" customWidth="1"/>
    <col min="15104" max="15104" width="13.5703125" style="30" customWidth="1"/>
    <col min="15105" max="15105" width="12.42578125" style="30" bestFit="1" customWidth="1"/>
    <col min="15106" max="15106" width="9.140625" style="30"/>
    <col min="15107" max="15107" width="11.7109375" style="30" customWidth="1"/>
    <col min="15108" max="15108" width="9.140625" style="30" customWidth="1"/>
    <col min="15109" max="15109" width="6.140625" style="30" customWidth="1"/>
    <col min="15110" max="15110" width="4.42578125" style="30" customWidth="1"/>
    <col min="15111" max="15111" width="15.85546875" style="30" customWidth="1"/>
    <col min="15112" max="15112" width="13.7109375" style="30" customWidth="1"/>
    <col min="15113" max="15113" width="12.28515625" style="30" customWidth="1"/>
    <col min="15114" max="15114" width="10.140625" style="30" bestFit="1" customWidth="1"/>
    <col min="15115" max="15116" width="9.140625" style="30"/>
    <col min="15117" max="15117" width="13.7109375" style="30" customWidth="1"/>
    <col min="15118" max="15358" width="9.140625" style="30"/>
    <col min="15359" max="15359" width="3.140625" style="30" customWidth="1"/>
    <col min="15360" max="15360" width="13.5703125" style="30" customWidth="1"/>
    <col min="15361" max="15361" width="12.42578125" style="30" bestFit="1" customWidth="1"/>
    <col min="15362" max="15362" width="9.140625" style="30"/>
    <col min="15363" max="15363" width="11.7109375" style="30" customWidth="1"/>
    <col min="15364" max="15364" width="9.140625" style="30" customWidth="1"/>
    <col min="15365" max="15365" width="6.140625" style="30" customWidth="1"/>
    <col min="15366" max="15366" width="4.42578125" style="30" customWidth="1"/>
    <col min="15367" max="15367" width="15.85546875" style="30" customWidth="1"/>
    <col min="15368" max="15368" width="13.7109375" style="30" customWidth="1"/>
    <col min="15369" max="15369" width="12.28515625" style="30" customWidth="1"/>
    <col min="15370" max="15370" width="10.140625" style="30" bestFit="1" customWidth="1"/>
    <col min="15371" max="15372" width="9.140625" style="30"/>
    <col min="15373" max="15373" width="13.7109375" style="30" customWidth="1"/>
    <col min="15374" max="15614" width="9.140625" style="30"/>
    <col min="15615" max="15615" width="3.140625" style="30" customWidth="1"/>
    <col min="15616" max="15616" width="13.5703125" style="30" customWidth="1"/>
    <col min="15617" max="15617" width="12.42578125" style="30" bestFit="1" customWidth="1"/>
    <col min="15618" max="15618" width="9.140625" style="30"/>
    <col min="15619" max="15619" width="11.7109375" style="30" customWidth="1"/>
    <col min="15620" max="15620" width="9.140625" style="30" customWidth="1"/>
    <col min="15621" max="15621" width="6.140625" style="30" customWidth="1"/>
    <col min="15622" max="15622" width="4.42578125" style="30" customWidth="1"/>
    <col min="15623" max="15623" width="15.85546875" style="30" customWidth="1"/>
    <col min="15624" max="15624" width="13.7109375" style="30" customWidth="1"/>
    <col min="15625" max="15625" width="12.28515625" style="30" customWidth="1"/>
    <col min="15626" max="15626" width="10.140625" style="30" bestFit="1" customWidth="1"/>
    <col min="15627" max="15628" width="9.140625" style="30"/>
    <col min="15629" max="15629" width="13.7109375" style="30" customWidth="1"/>
    <col min="15630" max="15870" width="9.140625" style="30"/>
    <col min="15871" max="15871" width="3.140625" style="30" customWidth="1"/>
    <col min="15872" max="15872" width="13.5703125" style="30" customWidth="1"/>
    <col min="15873" max="15873" width="12.42578125" style="30" bestFit="1" customWidth="1"/>
    <col min="15874" max="15874" width="9.140625" style="30"/>
    <col min="15875" max="15875" width="11.7109375" style="30" customWidth="1"/>
    <col min="15876" max="15876" width="9.140625" style="30" customWidth="1"/>
    <col min="15877" max="15877" width="6.140625" style="30" customWidth="1"/>
    <col min="15878" max="15878" width="4.42578125" style="30" customWidth="1"/>
    <col min="15879" max="15879" width="15.85546875" style="30" customWidth="1"/>
    <col min="15880" max="15880" width="13.7109375" style="30" customWidth="1"/>
    <col min="15881" max="15881" width="12.28515625" style="30" customWidth="1"/>
    <col min="15882" max="15882" width="10.140625" style="30" bestFit="1" customWidth="1"/>
    <col min="15883" max="15884" width="9.140625" style="30"/>
    <col min="15885" max="15885" width="13.7109375" style="30" customWidth="1"/>
    <col min="15886" max="16126" width="9.140625" style="30"/>
    <col min="16127" max="16127" width="3.140625" style="30" customWidth="1"/>
    <col min="16128" max="16128" width="13.5703125" style="30" customWidth="1"/>
    <col min="16129" max="16129" width="12.42578125" style="30" bestFit="1" customWidth="1"/>
    <col min="16130" max="16130" width="9.140625" style="30"/>
    <col min="16131" max="16131" width="11.7109375" style="30" customWidth="1"/>
    <col min="16132" max="16132" width="9.140625" style="30" customWidth="1"/>
    <col min="16133" max="16133" width="6.140625" style="30" customWidth="1"/>
    <col min="16134" max="16134" width="4.42578125" style="30" customWidth="1"/>
    <col min="16135" max="16135" width="15.85546875" style="30" customWidth="1"/>
    <col min="16136" max="16136" width="13.7109375" style="30" customWidth="1"/>
    <col min="16137" max="16137" width="12.28515625" style="30" customWidth="1"/>
    <col min="16138" max="16138" width="10.140625" style="30" bestFit="1" customWidth="1"/>
    <col min="16139" max="16140" width="9.140625" style="30"/>
    <col min="16141" max="16141" width="13.7109375" style="30" customWidth="1"/>
    <col min="16142" max="16384" width="9.140625" style="30"/>
  </cols>
  <sheetData>
    <row r="1" spans="1:11" ht="68.25" customHeight="1">
      <c r="A1" s="427" t="s">
        <v>119</v>
      </c>
      <c r="B1" s="428"/>
      <c r="C1" s="428"/>
      <c r="D1" s="428"/>
      <c r="E1" s="428"/>
      <c r="F1" s="428"/>
      <c r="G1" s="428"/>
      <c r="H1" s="428"/>
      <c r="I1" s="102"/>
      <c r="J1" s="102"/>
      <c r="K1" s="102"/>
    </row>
    <row r="2" spans="1:11" s="37" customFormat="1" ht="15">
      <c r="A2" s="35" t="s">
        <v>85</v>
      </c>
      <c r="B2" s="36"/>
      <c r="C2" s="36"/>
      <c r="D2" s="36"/>
      <c r="E2" s="36"/>
      <c r="F2" s="110" t="s">
        <v>86</v>
      </c>
      <c r="G2" s="110" t="s">
        <v>87</v>
      </c>
      <c r="H2" s="110" t="s">
        <v>88</v>
      </c>
      <c r="I2" s="47"/>
      <c r="J2" s="47"/>
      <c r="K2" s="47"/>
    </row>
    <row r="3" spans="1:11" s="37" customFormat="1" ht="12" customHeight="1">
      <c r="A3" s="38"/>
      <c r="B3" s="32" t="s">
        <v>106</v>
      </c>
      <c r="C3" s="32"/>
      <c r="D3" s="32"/>
      <c r="E3" s="32"/>
      <c r="F3" s="429"/>
      <c r="G3" s="431">
        <f ca="1">TODAY()</f>
        <v>44979</v>
      </c>
      <c r="H3" s="429" t="s">
        <v>112</v>
      </c>
      <c r="I3" s="103"/>
      <c r="J3" s="103"/>
      <c r="K3" s="103"/>
    </row>
    <row r="4" spans="1:11" s="37" customFormat="1" ht="15" customHeight="1">
      <c r="A4" s="38"/>
      <c r="B4" s="33" t="s">
        <v>107</v>
      </c>
      <c r="C4" s="32"/>
      <c r="D4" s="32"/>
      <c r="E4" s="32"/>
      <c r="F4" s="430"/>
      <c r="G4" s="432"/>
      <c r="H4" s="430"/>
      <c r="I4" s="103"/>
      <c r="J4" s="103"/>
      <c r="K4" s="103"/>
    </row>
    <row r="5" spans="1:11" s="37" customFormat="1" ht="14.25" customHeight="1">
      <c r="A5" s="38"/>
      <c r="B5" s="32" t="s">
        <v>108</v>
      </c>
      <c r="C5" s="32"/>
      <c r="D5" s="32"/>
      <c r="E5" s="32"/>
      <c r="F5" s="433" t="str">
        <f>IF(ISBLANK(CARGO!C36),"",CARGO!C36)</f>
        <v/>
      </c>
      <c r="G5" s="434"/>
      <c r="H5" s="435"/>
      <c r="I5" s="100"/>
      <c r="J5" s="100"/>
      <c r="K5" s="100"/>
    </row>
    <row r="6" spans="1:11" s="37" customFormat="1" ht="15" customHeight="1">
      <c r="A6" s="38"/>
      <c r="B6" s="32" t="s">
        <v>109</v>
      </c>
      <c r="C6" s="32"/>
      <c r="D6" s="32"/>
      <c r="E6" s="32"/>
      <c r="F6" s="436"/>
      <c r="G6" s="437"/>
      <c r="H6" s="438"/>
      <c r="I6" s="100"/>
      <c r="J6" s="100"/>
      <c r="K6" s="100"/>
    </row>
    <row r="7" spans="1:11" s="37" customFormat="1" ht="15" customHeight="1">
      <c r="A7" s="38"/>
      <c r="B7" s="32"/>
      <c r="C7" s="32"/>
      <c r="D7" s="32"/>
      <c r="E7" s="32"/>
      <c r="F7" s="439"/>
      <c r="G7" s="440"/>
      <c r="H7" s="441"/>
      <c r="I7" s="100"/>
      <c r="J7" s="100"/>
      <c r="K7" s="100"/>
    </row>
    <row r="8" spans="1:11" s="37" customFormat="1" ht="18.75" customHeight="1">
      <c r="A8" s="39" t="s">
        <v>111</v>
      </c>
      <c r="B8" s="67"/>
      <c r="C8" s="67"/>
      <c r="D8" s="67"/>
      <c r="E8" s="67"/>
      <c r="F8" s="67"/>
      <c r="G8" s="67"/>
      <c r="H8" s="68"/>
      <c r="I8" s="69"/>
      <c r="J8" s="69"/>
      <c r="K8" s="69"/>
    </row>
    <row r="9" spans="1:11" s="37" customFormat="1" ht="14.25">
      <c r="A9" s="38"/>
      <c r="B9" s="43" t="str">
        <f>IF(ISBLANK(CARGO!B8),"",CARGO!B8)</f>
        <v/>
      </c>
      <c r="C9" s="45"/>
      <c r="D9" s="69"/>
      <c r="E9" s="69"/>
      <c r="F9" s="69"/>
      <c r="G9" s="69"/>
      <c r="H9" s="70"/>
      <c r="I9" s="69"/>
      <c r="J9" s="69"/>
      <c r="K9" s="69"/>
    </row>
    <row r="10" spans="1:11" s="37" customFormat="1" ht="14.25">
      <c r="A10" s="38"/>
      <c r="B10" s="55" t="str">
        <f>IF(ISBLANK(CARGO!B12),"",CARGO!B12)</f>
        <v/>
      </c>
      <c r="C10" s="44"/>
      <c r="D10" s="69"/>
      <c r="E10" s="69"/>
      <c r="F10" s="69"/>
      <c r="G10" s="69"/>
      <c r="H10" s="70"/>
      <c r="I10" s="69"/>
      <c r="J10" s="69"/>
      <c r="K10" s="69"/>
    </row>
    <row r="11" spans="1:11" s="37" customFormat="1" ht="14.25">
      <c r="A11" s="38"/>
      <c r="B11" s="55" t="str">
        <f>IF(ISBLANK(CARGO!B13),"",CARGO!B13)</f>
        <v/>
      </c>
      <c r="C11" s="44"/>
      <c r="D11" s="69"/>
      <c r="E11" s="69"/>
      <c r="F11" s="69"/>
      <c r="G11" s="69"/>
      <c r="H11" s="70"/>
      <c r="I11" s="69"/>
      <c r="J11" s="69"/>
      <c r="K11" s="69"/>
    </row>
    <row r="12" spans="1:11" s="37" customFormat="1" ht="14.25">
      <c r="A12" s="38"/>
      <c r="B12" s="55" t="str">
        <f>IF(ISBLANK(CARGO!B14),"",CARGO!B14)</f>
        <v/>
      </c>
      <c r="C12" s="44"/>
      <c r="D12" s="69"/>
      <c r="E12" s="69"/>
      <c r="F12" s="69"/>
      <c r="G12" s="69"/>
      <c r="H12" s="70"/>
      <c r="I12" s="69"/>
      <c r="J12" s="69"/>
      <c r="K12" s="69"/>
    </row>
    <row r="13" spans="1:11" s="37" customFormat="1" ht="14.25" customHeight="1">
      <c r="A13" s="38"/>
      <c r="B13" s="45" t="s">
        <v>90</v>
      </c>
      <c r="C13" s="51" t="str">
        <f>IF(ISBLANK(CARGO!H12),"",CARGO!H12)</f>
        <v/>
      </c>
      <c r="D13" s="69"/>
      <c r="E13" s="69"/>
      <c r="F13" s="69"/>
      <c r="G13" s="69"/>
      <c r="H13" s="70"/>
      <c r="I13" s="69"/>
      <c r="J13" s="69"/>
      <c r="K13" s="69"/>
    </row>
    <row r="14" spans="1:11" s="37" customFormat="1" ht="14.25" customHeight="1">
      <c r="A14" s="38"/>
      <c r="B14" s="34" t="s">
        <v>91</v>
      </c>
      <c r="C14" s="51" t="str">
        <f>IF(ISBLANK(CARGO!H14),"",CARGO!H14)</f>
        <v/>
      </c>
      <c r="D14" s="69"/>
      <c r="E14" s="69"/>
      <c r="F14" s="69"/>
      <c r="G14" s="69"/>
      <c r="H14" s="70"/>
      <c r="I14" s="69"/>
      <c r="J14" s="69"/>
      <c r="K14" s="69"/>
    </row>
    <row r="15" spans="1:11" s="37" customFormat="1" ht="14.25" customHeight="1">
      <c r="A15" s="38"/>
      <c r="B15" s="32"/>
      <c r="C15" s="32"/>
      <c r="D15" s="71"/>
      <c r="E15" s="71"/>
      <c r="F15" s="71"/>
      <c r="G15" s="71"/>
      <c r="H15" s="72"/>
      <c r="I15" s="69"/>
      <c r="J15" s="69"/>
      <c r="K15" s="69"/>
    </row>
    <row r="16" spans="1:11" s="37" customFormat="1" ht="18.75" customHeight="1" outlineLevel="1">
      <c r="A16" s="39" t="s">
        <v>83</v>
      </c>
      <c r="B16" s="67"/>
      <c r="C16" s="67"/>
      <c r="D16" s="67"/>
      <c r="E16" s="67"/>
      <c r="F16" s="423" t="s">
        <v>89</v>
      </c>
      <c r="G16" s="424"/>
      <c r="H16" s="425"/>
      <c r="I16" s="66"/>
      <c r="J16" s="66"/>
      <c r="K16" s="66"/>
    </row>
    <row r="17" spans="1:11" s="37" customFormat="1" ht="14.25" outlineLevel="1">
      <c r="A17" s="38"/>
      <c r="B17" s="422" t="str">
        <f>IF(ISBLANK(CARGO!B39),"",CARGO!B39)</f>
        <v/>
      </c>
      <c r="C17" s="422"/>
      <c r="D17" s="33"/>
      <c r="E17" s="33"/>
      <c r="F17" s="62"/>
      <c r="G17" s="33"/>
      <c r="H17" s="40"/>
      <c r="I17" s="33"/>
      <c r="J17" s="33"/>
      <c r="K17" s="33"/>
    </row>
    <row r="18" spans="1:11" s="37" customFormat="1" ht="14.25" outlineLevel="1">
      <c r="A18" s="38"/>
      <c r="B18" s="52" t="str">
        <f>IF(ISBLANK(CARGO!B41),"",CARGO!B41)</f>
        <v/>
      </c>
      <c r="C18" s="48"/>
      <c r="D18" s="33"/>
      <c r="E18" s="33"/>
      <c r="F18" s="62"/>
      <c r="G18" s="33"/>
      <c r="H18" s="40"/>
      <c r="I18" s="33"/>
      <c r="J18" s="33"/>
      <c r="K18" s="33"/>
    </row>
    <row r="19" spans="1:11" s="37" customFormat="1" ht="14.25" outlineLevel="1">
      <c r="A19" s="38"/>
      <c r="B19" s="52" t="str">
        <f>IF(ISBLANK(CARGO!B42),"",CARGO!B42)</f>
        <v/>
      </c>
      <c r="C19" s="48"/>
      <c r="D19" s="33"/>
      <c r="E19" s="33"/>
      <c r="F19" s="62"/>
      <c r="G19" s="33"/>
      <c r="H19" s="40"/>
      <c r="I19" s="33"/>
      <c r="J19" s="33"/>
      <c r="K19" s="33"/>
    </row>
    <row r="20" spans="1:11" s="37" customFormat="1" ht="14.25" outlineLevel="1">
      <c r="A20" s="38"/>
      <c r="B20" s="52" t="str">
        <f>IF(ISBLANK(CARGO!B43),"",CARGO!B43)</f>
        <v/>
      </c>
      <c r="C20" s="48"/>
      <c r="D20" s="33"/>
      <c r="E20" s="33"/>
      <c r="F20" s="62"/>
      <c r="G20" s="33"/>
      <c r="H20" s="40"/>
      <c r="I20" s="33"/>
      <c r="J20" s="33"/>
      <c r="K20" s="33"/>
    </row>
    <row r="21" spans="1:11" s="37" customFormat="1" ht="14.25" outlineLevel="1">
      <c r="A21" s="38"/>
      <c r="B21" s="53" t="str">
        <f>IF(ISBLANK(CARGO!H39),"",CARGO!H39)</f>
        <v/>
      </c>
      <c r="C21" s="49"/>
      <c r="D21" s="33"/>
      <c r="E21" s="33"/>
      <c r="F21" s="62"/>
      <c r="G21" s="33"/>
      <c r="H21" s="40"/>
      <c r="I21" s="33"/>
      <c r="J21" s="33"/>
      <c r="K21" s="33"/>
    </row>
    <row r="22" spans="1:11" s="37" customFormat="1" ht="14.25" outlineLevel="1">
      <c r="A22" s="38"/>
      <c r="B22" s="54" t="str">
        <f>IF(ISBLANK(CARGO!H41),"",CARGO!H41)</f>
        <v/>
      </c>
      <c r="C22" s="50"/>
      <c r="D22" s="58"/>
      <c r="E22" s="58"/>
      <c r="F22" s="63"/>
      <c r="G22" s="58"/>
      <c r="H22" s="59"/>
      <c r="I22" s="33"/>
      <c r="J22" s="33"/>
      <c r="K22" s="33"/>
    </row>
    <row r="23" spans="1:11" s="37" customFormat="1" ht="21.75" customHeight="1">
      <c r="A23" s="423" t="s">
        <v>84</v>
      </c>
      <c r="B23" s="424"/>
      <c r="C23" s="424"/>
      <c r="D23" s="423" t="s">
        <v>92</v>
      </c>
      <c r="E23" s="425"/>
      <c r="F23" s="423" t="s">
        <v>93</v>
      </c>
      <c r="G23" s="424"/>
      <c r="H23" s="425"/>
      <c r="I23" s="66"/>
      <c r="J23" s="66"/>
      <c r="K23" s="66"/>
    </row>
    <row r="24" spans="1:11" s="37" customFormat="1" ht="14.25">
      <c r="A24" s="416" t="s">
        <v>231</v>
      </c>
      <c r="B24" s="416"/>
      <c r="C24" s="416"/>
      <c r="D24" s="426"/>
      <c r="E24" s="426"/>
      <c r="F24" s="416"/>
      <c r="G24" s="416"/>
      <c r="H24" s="416"/>
      <c r="I24" s="48"/>
      <c r="J24" s="48"/>
      <c r="K24" s="48"/>
    </row>
    <row r="25" spans="1:11" s="37" customFormat="1" ht="14.25">
      <c r="A25" s="416"/>
      <c r="B25" s="416"/>
      <c r="C25" s="416"/>
      <c r="D25" s="426"/>
      <c r="E25" s="426"/>
      <c r="F25" s="416"/>
      <c r="G25" s="416"/>
      <c r="H25" s="416"/>
      <c r="I25" s="48"/>
      <c r="J25" s="48"/>
      <c r="K25" s="48"/>
    </row>
    <row r="26" spans="1:11" s="37" customFormat="1" ht="15">
      <c r="A26" s="408" t="s">
        <v>94</v>
      </c>
      <c r="B26" s="408"/>
      <c r="C26" s="60" t="s">
        <v>95</v>
      </c>
      <c r="D26" s="408" t="s">
        <v>96</v>
      </c>
      <c r="E26" s="408"/>
      <c r="F26" s="408" t="s">
        <v>97</v>
      </c>
      <c r="G26" s="408"/>
      <c r="H26" s="408"/>
      <c r="I26" s="41"/>
      <c r="J26" s="41"/>
      <c r="K26" s="41"/>
    </row>
    <row r="27" spans="1:11" s="37" customFormat="1" ht="14.25">
      <c r="A27" s="416" t="s">
        <v>98</v>
      </c>
      <c r="B27" s="416"/>
      <c r="C27" s="417">
        <f>CARGO!B10</f>
        <v>0</v>
      </c>
      <c r="D27" s="416"/>
      <c r="E27" s="416"/>
      <c r="F27" s="418"/>
      <c r="G27" s="419"/>
      <c r="H27" s="419"/>
      <c r="I27" s="48"/>
      <c r="J27" s="48"/>
      <c r="K27" s="48"/>
    </row>
    <row r="28" spans="1:11" s="37" customFormat="1" ht="14.25">
      <c r="A28" s="416"/>
      <c r="B28" s="416"/>
      <c r="C28" s="417"/>
      <c r="D28" s="416"/>
      <c r="E28" s="416"/>
      <c r="F28" s="420"/>
      <c r="G28" s="421"/>
      <c r="H28" s="421"/>
      <c r="I28" s="48"/>
      <c r="J28" s="48"/>
      <c r="K28" s="48"/>
    </row>
    <row r="29" spans="1:11" s="37" customFormat="1" ht="12.75" customHeight="1">
      <c r="A29" s="407" t="s">
        <v>99</v>
      </c>
      <c r="B29" s="407"/>
      <c r="C29" s="407"/>
      <c r="D29" s="407"/>
      <c r="E29" s="407"/>
      <c r="F29" s="408" t="s">
        <v>100</v>
      </c>
      <c r="G29" s="408"/>
      <c r="H29" s="408"/>
      <c r="I29" s="41"/>
      <c r="J29" s="41"/>
      <c r="K29" s="41"/>
    </row>
    <row r="30" spans="1:11" s="37" customFormat="1" ht="14.25">
      <c r="A30" s="409" t="str">
        <f>IFERROR(VLOOKUP(CARGO!$B$2,Summary!I1:$K$5,3,0),"")</f>
        <v/>
      </c>
      <c r="B30" s="409"/>
      <c r="C30" s="409"/>
      <c r="D30" s="409"/>
      <c r="E30" s="409"/>
      <c r="F30" s="409" t="str">
        <f>A30</f>
        <v/>
      </c>
      <c r="G30" s="409"/>
      <c r="H30" s="409"/>
      <c r="I30" s="48"/>
      <c r="J30" s="48"/>
      <c r="K30" s="48"/>
    </row>
    <row r="31" spans="1:11" s="37" customFormat="1" ht="14.25">
      <c r="A31" s="409"/>
      <c r="B31" s="409"/>
      <c r="C31" s="409"/>
      <c r="D31" s="409"/>
      <c r="E31" s="409"/>
      <c r="F31" s="409"/>
      <c r="G31" s="409"/>
      <c r="H31" s="409"/>
      <c r="I31" s="48"/>
      <c r="J31" s="48"/>
      <c r="K31" s="48"/>
    </row>
    <row r="32" spans="1:11" s="37" customFormat="1" ht="12.75" customHeight="1">
      <c r="A32" s="410" t="s">
        <v>115</v>
      </c>
      <c r="B32" s="411"/>
      <c r="C32" s="411"/>
      <c r="D32" s="412"/>
      <c r="E32" s="403" t="s">
        <v>101</v>
      </c>
      <c r="F32" s="403" t="s">
        <v>66</v>
      </c>
      <c r="G32" s="403" t="s">
        <v>116</v>
      </c>
      <c r="H32" s="403" t="s">
        <v>117</v>
      </c>
      <c r="I32" s="61"/>
      <c r="J32" s="61"/>
      <c r="K32" s="61"/>
    </row>
    <row r="33" spans="1:14" s="37" customFormat="1" ht="15.75" customHeight="1">
      <c r="A33" s="413"/>
      <c r="B33" s="414"/>
      <c r="C33" s="414"/>
      <c r="D33" s="415"/>
      <c r="E33" s="404"/>
      <c r="F33" s="404"/>
      <c r="G33" s="404"/>
      <c r="H33" s="404"/>
      <c r="I33" s="61"/>
      <c r="J33" s="61"/>
      <c r="K33" s="61"/>
    </row>
    <row r="34" spans="1:14" s="37" customFormat="1" ht="15">
      <c r="A34" s="111" t="s">
        <v>24</v>
      </c>
      <c r="B34" s="112" t="s">
        <v>102</v>
      </c>
      <c r="C34" s="405" t="s">
        <v>64</v>
      </c>
      <c r="D34" s="406"/>
      <c r="E34" s="113"/>
      <c r="F34" s="113"/>
      <c r="G34" s="129" t="s">
        <v>126</v>
      </c>
      <c r="H34" s="129" t="s">
        <v>126</v>
      </c>
      <c r="I34" s="90"/>
      <c r="J34" s="90"/>
      <c r="K34" s="90"/>
    </row>
    <row r="35" spans="1:14" s="73" customFormat="1" ht="18.75" customHeight="1">
      <c r="A35" s="96" t="str">
        <f>IF(L35=FALSE,M35,"")</f>
        <v/>
      </c>
      <c r="B35" s="116" t="str">
        <f>IF(ISBLANK(CARGO!M3),"",CARGO!M3)</f>
        <v/>
      </c>
      <c r="C35" s="401" t="str">
        <f>IF(ISBLANK(CARGO!N3),"",CARGO!N3)</f>
        <v/>
      </c>
      <c r="D35" s="402"/>
      <c r="E35" s="98" t="str">
        <f>IF(ISBLANK(CARGO!O3),"",CARGO!O3)</f>
        <v/>
      </c>
      <c r="F35" s="98" t="str">
        <f>IF(ISBLANK(CARGO!P3),"",CARGO!P3)</f>
        <v/>
      </c>
      <c r="G35" s="98" t="str">
        <f>IF(ISBLANK(CARGO!Q3),"",CARGO!Q3)</f>
        <v/>
      </c>
      <c r="H35" s="134" t="str">
        <f>IFERROR(G35*E35,"")</f>
        <v/>
      </c>
      <c r="I35" s="104"/>
      <c r="J35" s="104"/>
      <c r="K35" s="104"/>
      <c r="L35" t="b">
        <f>ISBLANK(CARGO!N3)</f>
        <v>1</v>
      </c>
      <c r="M35">
        <v>1</v>
      </c>
      <c r="N35" s="6"/>
    </row>
    <row r="36" spans="1:14" s="75" customFormat="1" ht="15">
      <c r="A36" s="91" t="str">
        <f>IF(L36=FALSE,M36,"")</f>
        <v/>
      </c>
      <c r="B36" s="116" t="str">
        <f>IF(ISBLANK(CARGO!M4),"",CARGO!M4)</f>
        <v/>
      </c>
      <c r="C36" s="401" t="str">
        <f>IF(ISBLANK(CARGO!N4),"",CARGO!N4)</f>
        <v/>
      </c>
      <c r="D36" s="402"/>
      <c r="E36" s="98" t="str">
        <f>IF(ISBLANK(CARGO!O4),"",CARGO!O4)</f>
        <v/>
      </c>
      <c r="F36" s="98" t="str">
        <f>IF(ISBLANK(CARGO!P4),"",CARGO!P4)</f>
        <v/>
      </c>
      <c r="G36" s="98" t="str">
        <f>IF(ISBLANK(CARGO!Q4),"",CARGO!Q4)</f>
        <v/>
      </c>
      <c r="H36" s="134" t="str">
        <f t="shared" ref="H36:H49" si="0">IFERROR(G36*E36,"")</f>
        <v/>
      </c>
      <c r="I36" s="105"/>
      <c r="J36" s="105"/>
      <c r="K36" s="105"/>
      <c r="L36" t="b">
        <f>ISBLANK(CARGO!N4)</f>
        <v>1</v>
      </c>
      <c r="M36">
        <v>2</v>
      </c>
      <c r="N36" s="6"/>
    </row>
    <row r="37" spans="1:14" s="73" customFormat="1" ht="15">
      <c r="A37" s="91" t="str">
        <f t="shared" ref="A37:A49" si="1">IF(L37=FALSE,M37,"")</f>
        <v/>
      </c>
      <c r="B37" s="116" t="str">
        <f>IF(ISBLANK(CARGO!M5),"",CARGO!M5)</f>
        <v/>
      </c>
      <c r="C37" s="401" t="str">
        <f>IF(ISBLANK(CARGO!N5),"",CARGO!N5)</f>
        <v/>
      </c>
      <c r="D37" s="402"/>
      <c r="E37" s="98" t="str">
        <f>IF(ISBLANK(CARGO!O5),"",CARGO!O5)</f>
        <v/>
      </c>
      <c r="F37" s="98" t="str">
        <f>IF(ISBLANK(CARGO!P5),"",CARGO!P5)</f>
        <v/>
      </c>
      <c r="G37" s="98" t="str">
        <f>IF(ISBLANK(CARGO!Q5),"",CARGO!Q5)</f>
        <v/>
      </c>
      <c r="H37" s="134" t="str">
        <f t="shared" si="0"/>
        <v/>
      </c>
      <c r="I37" s="105"/>
      <c r="J37" s="105"/>
      <c r="K37" s="105"/>
      <c r="L37" t="b">
        <f>ISBLANK(CARGO!N5)</f>
        <v>1</v>
      </c>
      <c r="M37">
        <v>3</v>
      </c>
      <c r="N37" s="6"/>
    </row>
    <row r="38" spans="1:14" s="73" customFormat="1" ht="15">
      <c r="A38" s="91" t="str">
        <f t="shared" si="1"/>
        <v/>
      </c>
      <c r="B38" s="116" t="str">
        <f>IF(ISBLANK(CARGO!M6),"",CARGO!M6)</f>
        <v/>
      </c>
      <c r="C38" s="401" t="str">
        <f>IF(ISBLANK(CARGO!N6),"",CARGO!N6)</f>
        <v/>
      </c>
      <c r="D38" s="402"/>
      <c r="E38" s="98" t="str">
        <f>IF(ISBLANK(CARGO!O6),"",CARGO!O6)</f>
        <v/>
      </c>
      <c r="F38" s="98" t="str">
        <f>IF(ISBLANK(CARGO!P6),"",CARGO!P6)</f>
        <v/>
      </c>
      <c r="G38" s="98" t="str">
        <f>IF(ISBLANK(CARGO!Q6),"",CARGO!Q6)</f>
        <v/>
      </c>
      <c r="H38" s="134" t="str">
        <f t="shared" si="0"/>
        <v/>
      </c>
      <c r="I38" s="105"/>
      <c r="J38" s="105"/>
      <c r="K38" s="105"/>
      <c r="L38" t="b">
        <f>ISBLANK(CARGO!N6)</f>
        <v>1</v>
      </c>
      <c r="M38">
        <v>4</v>
      </c>
      <c r="N38" s="6"/>
    </row>
    <row r="39" spans="1:14" s="73" customFormat="1" ht="15">
      <c r="A39" s="91" t="str">
        <f t="shared" si="1"/>
        <v/>
      </c>
      <c r="B39" s="116" t="str">
        <f>IF(ISBLANK(CARGO!M7),"",CARGO!M7)</f>
        <v/>
      </c>
      <c r="C39" s="401" t="str">
        <f>IF(ISBLANK(CARGO!N7),"",CARGO!N7)</f>
        <v/>
      </c>
      <c r="D39" s="402"/>
      <c r="E39" s="98" t="str">
        <f>IF(ISBLANK(CARGO!O7),"",CARGO!O7)</f>
        <v/>
      </c>
      <c r="F39" s="98" t="str">
        <f>IF(ISBLANK(CARGO!P7),"",CARGO!P7)</f>
        <v/>
      </c>
      <c r="G39" s="98" t="str">
        <f>IF(ISBLANK(CARGO!Q7),"",CARGO!Q7)</f>
        <v/>
      </c>
      <c r="H39" s="134" t="str">
        <f t="shared" si="0"/>
        <v/>
      </c>
      <c r="I39" s="105"/>
      <c r="J39" s="105"/>
      <c r="K39" s="105"/>
      <c r="L39" t="b">
        <f>ISBLANK(CARGO!N7)</f>
        <v>1</v>
      </c>
      <c r="M39">
        <v>5</v>
      </c>
      <c r="N39" s="6"/>
    </row>
    <row r="40" spans="1:14" s="73" customFormat="1" ht="15">
      <c r="A40" s="91" t="str">
        <f t="shared" si="1"/>
        <v/>
      </c>
      <c r="B40" s="116" t="str">
        <f>IF(ISBLANK(CARGO!M8),"",CARGO!M8)</f>
        <v/>
      </c>
      <c r="C40" s="401" t="str">
        <f>IF(ISBLANK(CARGO!N8),"",CARGO!N8)</f>
        <v/>
      </c>
      <c r="D40" s="402"/>
      <c r="E40" s="98" t="str">
        <f>IF(ISBLANK(CARGO!O8),"",CARGO!O8)</f>
        <v/>
      </c>
      <c r="F40" s="98" t="str">
        <f>IF(ISBLANK(CARGO!P8),"",CARGO!P8)</f>
        <v/>
      </c>
      <c r="G40" s="98" t="str">
        <f>IF(ISBLANK(CARGO!Q8),"",CARGO!Q8)</f>
        <v/>
      </c>
      <c r="H40" s="134" t="str">
        <f t="shared" si="0"/>
        <v/>
      </c>
      <c r="I40" s="105"/>
      <c r="J40" s="105"/>
      <c r="K40" s="105"/>
      <c r="L40" t="b">
        <f>ISBLANK(CARGO!N8)</f>
        <v>1</v>
      </c>
      <c r="M40">
        <v>6</v>
      </c>
      <c r="N40" s="6"/>
    </row>
    <row r="41" spans="1:14" s="42" customFormat="1" ht="15">
      <c r="A41" s="91" t="str">
        <f t="shared" si="1"/>
        <v/>
      </c>
      <c r="B41" s="116" t="str">
        <f>IF(ISBLANK(CARGO!M9),"",CARGO!M9)</f>
        <v/>
      </c>
      <c r="C41" s="401" t="str">
        <f>IF(ISBLANK(CARGO!N9),"",CARGO!N9)</f>
        <v/>
      </c>
      <c r="D41" s="402"/>
      <c r="E41" s="98" t="str">
        <f>IF(ISBLANK(CARGO!O9),"",CARGO!O9)</f>
        <v/>
      </c>
      <c r="F41" s="98" t="str">
        <f>IF(ISBLANK(CARGO!P9),"",CARGO!P9)</f>
        <v/>
      </c>
      <c r="G41" s="98" t="str">
        <f>IF(ISBLANK(CARGO!Q9),"",CARGO!Q9)</f>
        <v/>
      </c>
      <c r="H41" s="134" t="str">
        <f t="shared" si="0"/>
        <v/>
      </c>
      <c r="I41" s="108"/>
      <c r="J41" s="108"/>
      <c r="K41" s="105"/>
      <c r="L41" t="b">
        <f>ISBLANK(CARGO!N9)</f>
        <v>1</v>
      </c>
      <c r="M41">
        <v>7</v>
      </c>
      <c r="N41" s="6"/>
    </row>
    <row r="42" spans="1:14" s="42" customFormat="1" ht="15">
      <c r="A42" s="91" t="str">
        <f t="shared" si="1"/>
        <v/>
      </c>
      <c r="B42" s="116" t="str">
        <f>IF(ISBLANK(CARGO!M10),"",CARGO!M10)</f>
        <v/>
      </c>
      <c r="C42" s="401" t="str">
        <f>IF(ISBLANK(CARGO!N10),"",CARGO!N10)</f>
        <v/>
      </c>
      <c r="D42" s="402"/>
      <c r="E42" s="98" t="str">
        <f>IF(ISBLANK(CARGO!O10),"",CARGO!O10)</f>
        <v/>
      </c>
      <c r="F42" s="98" t="str">
        <f>IF(ISBLANK(CARGO!P10),"",CARGO!P10)</f>
        <v/>
      </c>
      <c r="G42" s="98" t="str">
        <f>IF(ISBLANK(CARGO!Q10),"",CARGO!Q10)</f>
        <v/>
      </c>
      <c r="H42" s="134" t="str">
        <f t="shared" si="0"/>
        <v/>
      </c>
      <c r="I42" s="108"/>
      <c r="J42" s="108"/>
      <c r="K42" s="106"/>
      <c r="L42" t="b">
        <f>ISBLANK(CARGO!N10)</f>
        <v>1</v>
      </c>
      <c r="M42">
        <v>8</v>
      </c>
      <c r="N42" s="6"/>
    </row>
    <row r="43" spans="1:14" s="42" customFormat="1" ht="15">
      <c r="A43" s="91" t="str">
        <f t="shared" si="1"/>
        <v/>
      </c>
      <c r="B43" s="116" t="str">
        <f>IF(ISBLANK(CARGO!M11),"",CARGO!M11)</f>
        <v/>
      </c>
      <c r="C43" s="401" t="str">
        <f>IF(ISBLANK(CARGO!N11),"",CARGO!N11)</f>
        <v/>
      </c>
      <c r="D43" s="402"/>
      <c r="E43" s="98" t="str">
        <f>IF(ISBLANK(CARGO!O11),"",CARGO!O11)</f>
        <v/>
      </c>
      <c r="F43" s="98" t="str">
        <f>IF(ISBLANK(CARGO!P11),"",CARGO!P11)</f>
        <v/>
      </c>
      <c r="G43" s="98" t="str">
        <f>IF(ISBLANK(CARGO!Q11),"",CARGO!Q11)</f>
        <v/>
      </c>
      <c r="H43" s="134" t="str">
        <f t="shared" si="0"/>
        <v/>
      </c>
      <c r="I43" s="108"/>
      <c r="J43" s="108"/>
      <c r="K43" s="106"/>
      <c r="L43" t="b">
        <f>ISBLANK(CARGO!N11)</f>
        <v>1</v>
      </c>
      <c r="M43">
        <v>9</v>
      </c>
      <c r="N43" s="6"/>
    </row>
    <row r="44" spans="1:14" s="42" customFormat="1" ht="15">
      <c r="A44" s="91" t="str">
        <f t="shared" si="1"/>
        <v/>
      </c>
      <c r="B44" s="116" t="str">
        <f>IF(ISBLANK(CARGO!M12),"",CARGO!M12)</f>
        <v/>
      </c>
      <c r="C44" s="401" t="str">
        <f>IF(ISBLANK(CARGO!N12),"",CARGO!N12)</f>
        <v/>
      </c>
      <c r="D44" s="402"/>
      <c r="E44" s="98" t="str">
        <f>IF(ISBLANK(CARGO!O12),"",CARGO!O12)</f>
        <v/>
      </c>
      <c r="F44" s="98" t="str">
        <f>IF(ISBLANK(CARGO!P12),"",CARGO!P12)</f>
        <v/>
      </c>
      <c r="G44" s="98" t="str">
        <f>IF(ISBLANK(CARGO!Q12),"",CARGO!Q12)</f>
        <v/>
      </c>
      <c r="H44" s="134" t="str">
        <f t="shared" si="0"/>
        <v/>
      </c>
      <c r="I44" s="108"/>
      <c r="J44" s="108"/>
      <c r="K44" s="106"/>
      <c r="L44" t="b">
        <f>ISBLANK(CARGO!N12)</f>
        <v>1</v>
      </c>
      <c r="M44">
        <v>10</v>
      </c>
      <c r="N44" s="6"/>
    </row>
    <row r="45" spans="1:14" s="42" customFormat="1" ht="15">
      <c r="A45" s="91" t="str">
        <f t="shared" si="1"/>
        <v/>
      </c>
      <c r="B45" s="116" t="str">
        <f>IF(ISBLANK(CARGO!M13),"",CARGO!M13)</f>
        <v/>
      </c>
      <c r="C45" s="401" t="str">
        <f>IF(ISBLANK(CARGO!N13),"",CARGO!N13)</f>
        <v/>
      </c>
      <c r="D45" s="402"/>
      <c r="E45" s="98" t="str">
        <f>IF(ISBLANK(CARGO!O13),"",CARGO!O13)</f>
        <v/>
      </c>
      <c r="F45" s="98" t="str">
        <f>IF(ISBLANK(CARGO!P13),"",CARGO!P13)</f>
        <v/>
      </c>
      <c r="G45" s="98" t="str">
        <f>IF(ISBLANK(CARGO!Q13),"",CARGO!Q13)</f>
        <v/>
      </c>
      <c r="H45" s="134" t="str">
        <f t="shared" si="0"/>
        <v/>
      </c>
      <c r="I45" s="108"/>
      <c r="J45" s="108"/>
      <c r="K45" s="106"/>
      <c r="L45" t="b">
        <f>ISBLANK(CARGO!N13)</f>
        <v>1</v>
      </c>
      <c r="M45">
        <v>11</v>
      </c>
      <c r="N45" s="6"/>
    </row>
    <row r="46" spans="1:14" s="42" customFormat="1" ht="15">
      <c r="A46" s="91" t="str">
        <f t="shared" si="1"/>
        <v/>
      </c>
      <c r="B46" s="116" t="str">
        <f>IF(ISBLANK(CARGO!M14),"",CARGO!M14)</f>
        <v/>
      </c>
      <c r="C46" s="401" t="str">
        <f>IF(ISBLANK(CARGO!N14),"",CARGO!N14)</f>
        <v/>
      </c>
      <c r="D46" s="402"/>
      <c r="E46" s="98" t="str">
        <f>IF(ISBLANK(CARGO!O14),"",CARGO!O14)</f>
        <v/>
      </c>
      <c r="F46" s="98" t="str">
        <f>IF(ISBLANK(CARGO!P14),"",CARGO!P14)</f>
        <v/>
      </c>
      <c r="G46" s="98" t="str">
        <f>IF(ISBLANK(CARGO!Q14),"",CARGO!Q14)</f>
        <v/>
      </c>
      <c r="H46" s="134" t="str">
        <f t="shared" si="0"/>
        <v/>
      </c>
      <c r="I46" s="108"/>
      <c r="J46" s="108"/>
      <c r="K46" s="107"/>
      <c r="L46" t="b">
        <f>ISBLANK(CARGO!N14)</f>
        <v>1</v>
      </c>
      <c r="M46">
        <v>12</v>
      </c>
      <c r="N46" s="6"/>
    </row>
    <row r="47" spans="1:14" s="37" customFormat="1" ht="15">
      <c r="A47" s="91" t="str">
        <f t="shared" si="1"/>
        <v/>
      </c>
      <c r="B47" s="116" t="str">
        <f>IF(ISBLANK(CARGO!M15),"",CARGO!M15)</f>
        <v/>
      </c>
      <c r="C47" s="401" t="str">
        <f>IF(ISBLANK(CARGO!N15),"",CARGO!N15)</f>
        <v/>
      </c>
      <c r="D47" s="402"/>
      <c r="E47" s="98" t="str">
        <f>IF(ISBLANK(CARGO!O15),"",CARGO!O15)</f>
        <v/>
      </c>
      <c r="F47" s="98" t="str">
        <f>IF(ISBLANK(CARGO!P15),"",CARGO!P15)</f>
        <v/>
      </c>
      <c r="G47" s="98" t="str">
        <f>IF(ISBLANK(CARGO!Q15),"",CARGO!Q15)</f>
        <v/>
      </c>
      <c r="H47" s="134" t="str">
        <f t="shared" si="0"/>
        <v/>
      </c>
      <c r="I47" s="108"/>
      <c r="J47" s="108"/>
      <c r="K47" s="108"/>
      <c r="L47" t="b">
        <f>ISBLANK(CARGO!N15)</f>
        <v>1</v>
      </c>
      <c r="M47">
        <v>13</v>
      </c>
      <c r="N47" s="6"/>
    </row>
    <row r="48" spans="1:14" s="37" customFormat="1" ht="15">
      <c r="A48" s="91" t="str">
        <f t="shared" si="1"/>
        <v/>
      </c>
      <c r="B48" s="116" t="str">
        <f>IF(ISBLANK(CARGO!M16),"",CARGO!M16)</f>
        <v/>
      </c>
      <c r="C48" s="401" t="str">
        <f>IF(ISBLANK(CARGO!N16),"",CARGO!N16)</f>
        <v/>
      </c>
      <c r="D48" s="402"/>
      <c r="E48" s="98" t="str">
        <f>IF(ISBLANK(CARGO!O16),"",CARGO!O16)</f>
        <v/>
      </c>
      <c r="F48" s="98" t="str">
        <f>IF(ISBLANK(CARGO!P16),"",CARGO!P16)</f>
        <v/>
      </c>
      <c r="G48" s="98" t="str">
        <f>IF(ISBLANK(CARGO!Q16),"",CARGO!Q16)</f>
        <v/>
      </c>
      <c r="H48" s="134" t="str">
        <f t="shared" si="0"/>
        <v/>
      </c>
      <c r="I48" s="108"/>
      <c r="J48" s="108"/>
      <c r="K48" s="107"/>
      <c r="L48" t="b">
        <f>ISBLANK(CARGO!N16)</f>
        <v>1</v>
      </c>
      <c r="M48">
        <v>14</v>
      </c>
      <c r="N48" s="6"/>
    </row>
    <row r="49" spans="1:14" s="37" customFormat="1" ht="15">
      <c r="A49" s="92" t="str">
        <f t="shared" si="1"/>
        <v/>
      </c>
      <c r="B49" s="116" t="str">
        <f>IF(ISBLANK(CARGO!M17),"",CARGO!M17)</f>
        <v/>
      </c>
      <c r="C49" s="401" t="str">
        <f>IF(ISBLANK(CARGO!N17),"",CARGO!N17)</f>
        <v/>
      </c>
      <c r="D49" s="402"/>
      <c r="E49" s="98" t="str">
        <f>IF(ISBLANK(CARGO!O17),"",CARGO!O17)</f>
        <v/>
      </c>
      <c r="F49" s="98" t="str">
        <f>IF(ISBLANK(CARGO!P17),"",CARGO!P17)</f>
        <v/>
      </c>
      <c r="G49" s="98" t="str">
        <f>IF(ISBLANK(CARGO!Q17),"",CARGO!Q17)</f>
        <v/>
      </c>
      <c r="H49" s="134" t="str">
        <f t="shared" si="0"/>
        <v/>
      </c>
      <c r="I49" s="109"/>
      <c r="J49" s="109"/>
      <c r="K49" s="108"/>
      <c r="L49" t="b">
        <f>ISBLANK(CARGO!N17)</f>
        <v>1</v>
      </c>
      <c r="M49">
        <v>15</v>
      </c>
      <c r="N49" s="6"/>
    </row>
    <row r="50" spans="1:14" s="37" customFormat="1" ht="15">
      <c r="A50" s="93" t="s">
        <v>104</v>
      </c>
      <c r="B50" s="94"/>
      <c r="C50" s="64"/>
      <c r="D50" s="65"/>
      <c r="E50" s="80">
        <f>SUM(E35:E49)</f>
        <v>0</v>
      </c>
      <c r="F50" s="95" t="s">
        <v>103</v>
      </c>
      <c r="G50" s="114">
        <f>SUM(G35:G49)</f>
        <v>0</v>
      </c>
      <c r="H50" s="115">
        <f>SUM(H35:H49)</f>
        <v>0</v>
      </c>
      <c r="I50" s="56"/>
      <c r="J50" s="56"/>
      <c r="K50" s="57"/>
    </row>
    <row r="51" spans="1:14" s="37" customFormat="1" ht="15">
      <c r="A51" s="118"/>
      <c r="B51" s="41"/>
      <c r="C51" s="41"/>
      <c r="D51" s="41"/>
      <c r="E51" s="119"/>
      <c r="F51" s="46"/>
      <c r="G51" s="124"/>
      <c r="H51" s="124"/>
      <c r="I51" s="56"/>
      <c r="J51" s="56"/>
      <c r="K51" s="57"/>
    </row>
    <row r="52" spans="1:14" s="37" customFormat="1" ht="15">
      <c r="A52" s="118"/>
      <c r="B52" s="41"/>
      <c r="C52" s="41"/>
      <c r="D52" s="41"/>
      <c r="E52" s="119"/>
      <c r="F52" s="46"/>
      <c r="G52" s="124"/>
      <c r="H52" s="124"/>
      <c r="I52" s="56"/>
      <c r="J52" s="56"/>
      <c r="K52" s="57"/>
    </row>
    <row r="53" spans="1:14" s="37" customFormat="1" ht="14.25">
      <c r="A53" s="82"/>
      <c r="B53" s="48"/>
      <c r="C53" s="48"/>
      <c r="D53" s="48"/>
      <c r="E53" s="76"/>
      <c r="F53" s="74"/>
      <c r="G53" s="77"/>
      <c r="H53" s="77"/>
      <c r="I53" s="77"/>
      <c r="J53" s="77"/>
      <c r="K53" s="78"/>
    </row>
    <row r="54" spans="1:14" s="37" customFormat="1" ht="15">
      <c r="A54" s="83" t="s">
        <v>110</v>
      </c>
      <c r="B54" s="32"/>
      <c r="C54" s="48"/>
      <c r="D54" s="48"/>
      <c r="E54" s="76"/>
      <c r="F54" s="74"/>
      <c r="G54" s="77"/>
      <c r="H54" s="77"/>
      <c r="I54" s="77"/>
      <c r="J54" s="77"/>
      <c r="K54" s="78"/>
    </row>
    <row r="55" spans="1:14" s="37" customFormat="1" ht="14.25">
      <c r="A55" s="81"/>
      <c r="B55" s="32"/>
      <c r="C55" s="32"/>
      <c r="D55" s="32"/>
      <c r="E55" s="32"/>
      <c r="F55" s="32"/>
      <c r="G55" s="32"/>
      <c r="H55" s="32"/>
      <c r="I55" s="32"/>
      <c r="J55" s="32"/>
      <c r="K55" s="32"/>
    </row>
    <row r="56" spans="1:14" s="37" customFormat="1" ht="12" customHeight="1">
      <c r="A56" s="84" t="s">
        <v>113</v>
      </c>
      <c r="B56" s="32"/>
      <c r="C56" s="332">
        <f>CARGO!S3</f>
        <v>0</v>
      </c>
      <c r="D56" s="32"/>
      <c r="E56" s="32"/>
      <c r="F56" s="32"/>
      <c r="G56" s="32"/>
      <c r="H56" s="32"/>
      <c r="I56" s="32"/>
      <c r="J56" s="32"/>
      <c r="K56" s="32"/>
    </row>
    <row r="57" spans="1:14" s="37" customFormat="1" ht="14.25">
      <c r="A57" s="81">
        <f>CARGO!C5</f>
        <v>0</v>
      </c>
      <c r="B57" s="32"/>
      <c r="C57" s="32"/>
      <c r="D57" s="32"/>
      <c r="E57" s="32"/>
      <c r="F57" s="32"/>
      <c r="G57" s="32"/>
      <c r="H57" s="32"/>
      <c r="I57" s="32"/>
      <c r="J57" s="32"/>
      <c r="K57" s="32"/>
    </row>
    <row r="58" spans="1:14" s="37" customFormat="1" ht="14.25">
      <c r="A58" s="89" t="str">
        <f>IF(F5="No Commercial Value","Value declared for customs clearance purpose only.","")</f>
        <v/>
      </c>
      <c r="B58" s="89"/>
      <c r="C58" s="89"/>
      <c r="D58" s="89"/>
      <c r="E58" s="32"/>
      <c r="F58" s="32"/>
      <c r="G58" s="32"/>
      <c r="H58" s="32"/>
      <c r="I58" s="32"/>
      <c r="J58" s="32"/>
      <c r="K58" s="32"/>
    </row>
    <row r="59" spans="1:14" s="37" customFormat="1" ht="14.25">
      <c r="A59" s="85"/>
      <c r="B59" s="32"/>
      <c r="C59" s="32"/>
      <c r="D59" s="32"/>
      <c r="E59" s="32"/>
      <c r="F59" s="32"/>
      <c r="G59" s="32"/>
      <c r="H59" s="32"/>
      <c r="I59" s="32"/>
      <c r="J59" s="32"/>
      <c r="K59" s="32"/>
    </row>
    <row r="60" spans="1:14" s="37" customFormat="1" ht="14.25">
      <c r="A60" s="81"/>
      <c r="B60" s="32"/>
      <c r="C60" s="32"/>
      <c r="D60" s="32"/>
      <c r="E60" s="32"/>
      <c r="F60" s="32"/>
      <c r="G60" s="32"/>
      <c r="H60" s="32"/>
      <c r="I60" s="32"/>
      <c r="J60" s="32"/>
      <c r="K60" s="32"/>
    </row>
    <row r="61" spans="1:14" s="37" customFormat="1" ht="14.25">
      <c r="A61" s="81"/>
      <c r="B61" s="32"/>
      <c r="C61" s="32"/>
      <c r="D61" s="32"/>
      <c r="E61" s="32"/>
      <c r="F61" s="32"/>
      <c r="G61" s="32"/>
      <c r="H61" s="32"/>
      <c r="I61" s="32"/>
      <c r="J61" s="32"/>
      <c r="K61" s="32"/>
    </row>
    <row r="62" spans="1:14" ht="14.25">
      <c r="A62" s="86"/>
      <c r="B62" s="31"/>
      <c r="C62" s="31"/>
      <c r="D62" s="31"/>
      <c r="E62" s="31"/>
      <c r="F62" s="31"/>
      <c r="G62" s="33" t="s">
        <v>105</v>
      </c>
      <c r="I62" s="79"/>
      <c r="J62" s="79"/>
      <c r="K62" s="31"/>
    </row>
    <row r="63" spans="1:14">
      <c r="A63" s="86"/>
      <c r="B63" s="31"/>
      <c r="C63" s="31"/>
      <c r="D63" s="31"/>
      <c r="E63" s="31"/>
      <c r="F63" s="31"/>
      <c r="G63" s="31"/>
      <c r="H63" s="31"/>
      <c r="I63" s="31"/>
      <c r="J63" s="31"/>
      <c r="K63" s="101"/>
    </row>
    <row r="64" spans="1:14">
      <c r="A64" s="87"/>
      <c r="B64" s="88"/>
      <c r="C64" s="88"/>
      <c r="D64" s="88"/>
      <c r="E64" s="88"/>
      <c r="F64" s="88"/>
      <c r="G64" s="88"/>
      <c r="H64" s="88"/>
      <c r="I64" s="31"/>
      <c r="J64" s="31"/>
      <c r="K64" s="31"/>
    </row>
    <row r="65" s="31" customFormat="1"/>
  </sheetData>
  <customSheetViews>
    <customSheetView guid="{B917A2D9-9544-4879-AB10-D367CD87C30A}" showPageBreaks="1" showGridLines="0" printArea="1" hiddenColumns="1" state="hidden" view="pageBreakPreview" topLeftCell="A16">
      <selection activeCell="E21" sqref="E21"/>
      <pageMargins left="0.63" right="0.25" top="0.59" bottom="0.75" header="0.3" footer="0.3"/>
      <pageSetup paperSize="9" scale="71" orientation="portrait" horizontalDpi="300" verticalDpi="300" r:id="rId1"/>
    </customSheetView>
  </customSheetViews>
  <mergeCells count="46">
    <mergeCell ref="A1:H1"/>
    <mergeCell ref="F3:F4"/>
    <mergeCell ref="G3:G4"/>
    <mergeCell ref="H3:H4"/>
    <mergeCell ref="F16:H16"/>
    <mergeCell ref="F5:H7"/>
    <mergeCell ref="B17:C17"/>
    <mergeCell ref="A23:C23"/>
    <mergeCell ref="D23:E23"/>
    <mergeCell ref="F23:H23"/>
    <mergeCell ref="A24:C25"/>
    <mergeCell ref="D24:E25"/>
    <mergeCell ref="F24:H25"/>
    <mergeCell ref="A26:B26"/>
    <mergeCell ref="D26:E26"/>
    <mergeCell ref="F26:H26"/>
    <mergeCell ref="A27:B28"/>
    <mergeCell ref="C27:C28"/>
    <mergeCell ref="D27:E28"/>
    <mergeCell ref="F27:H27"/>
    <mergeCell ref="F28:H28"/>
    <mergeCell ref="C35:D35"/>
    <mergeCell ref="C36:D36"/>
    <mergeCell ref="A29:E29"/>
    <mergeCell ref="F29:H29"/>
    <mergeCell ref="A30:E31"/>
    <mergeCell ref="F30:H31"/>
    <mergeCell ref="A32:D33"/>
    <mergeCell ref="E32:E33"/>
    <mergeCell ref="F32:F33"/>
    <mergeCell ref="C49:D49"/>
    <mergeCell ref="G32:G33"/>
    <mergeCell ref="H32:H33"/>
    <mergeCell ref="C46:D46"/>
    <mergeCell ref="C47:D47"/>
    <mergeCell ref="C48:D48"/>
    <mergeCell ref="C43:D43"/>
    <mergeCell ref="C44:D44"/>
    <mergeCell ref="C45:D45"/>
    <mergeCell ref="C40:D40"/>
    <mergeCell ref="C41:D41"/>
    <mergeCell ref="C42:D42"/>
    <mergeCell ref="C37:D37"/>
    <mergeCell ref="C38:D38"/>
    <mergeCell ref="C39:D39"/>
    <mergeCell ref="C34:D34"/>
  </mergeCells>
  <phoneticPr fontId="39"/>
  <printOptions horizontalCentered="1"/>
  <pageMargins left="0.62992125984251968" right="0.62992125984251968" top="0.59055118110236227" bottom="0.74803149606299213" header="0.31496062992125984" footer="0.19685039370078741"/>
  <pageSetup paperSize="9" scale="75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INV_print">
                <anchor moveWithCells="1" sizeWithCells="1">
                  <from>
                    <xdr:col>8</xdr:col>
                    <xdr:colOff>390525</xdr:colOff>
                    <xdr:row>0</xdr:row>
                    <xdr:rowOff>171450</xdr:rowOff>
                  </from>
                  <to>
                    <xdr:col>9</xdr:col>
                    <xdr:colOff>762000</xdr:colOff>
                    <xdr:row>0</xdr:row>
                    <xdr:rowOff>819150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O71"/>
  <sheetViews>
    <sheetView showGridLines="0" view="pageBreakPreview" topLeftCell="A31" zoomScaleNormal="100" zoomScaleSheetLayoutView="100" workbookViewId="0">
      <selection activeCell="G52" sqref="G52"/>
    </sheetView>
  </sheetViews>
  <sheetFormatPr defaultRowHeight="12.75" outlineLevelRow="1"/>
  <cols>
    <col min="1" max="1" width="5" style="30" customWidth="1"/>
    <col min="2" max="2" width="18.7109375" style="30" customWidth="1"/>
    <col min="3" max="3" width="11.28515625" style="30" customWidth="1"/>
    <col min="4" max="4" width="15.85546875" style="30" customWidth="1"/>
    <col min="5" max="5" width="16.5703125" style="30" customWidth="1"/>
    <col min="6" max="6" width="9.28515625" style="30" customWidth="1"/>
    <col min="7" max="7" width="17.42578125" style="30" customWidth="1"/>
    <col min="8" max="8" width="12" style="30" customWidth="1"/>
    <col min="9" max="9" width="11.5703125" style="30" customWidth="1"/>
    <col min="10" max="11" width="15.85546875" style="30" customWidth="1"/>
    <col min="12" max="12" width="19" style="30" customWidth="1"/>
    <col min="13" max="13" width="5.42578125" style="30" customWidth="1"/>
    <col min="14" max="14" width="3" style="30" customWidth="1"/>
    <col min="15" max="255" width="9.140625" style="30"/>
    <col min="256" max="256" width="3.140625" style="30" customWidth="1"/>
    <col min="257" max="257" width="13.5703125" style="30" customWidth="1"/>
    <col min="258" max="258" width="12.42578125" style="30" bestFit="1" customWidth="1"/>
    <col min="259" max="259" width="9.140625" style="30"/>
    <col min="260" max="260" width="11.7109375" style="30" customWidth="1"/>
    <col min="261" max="261" width="9.140625" style="30" customWidth="1"/>
    <col min="262" max="262" width="6.140625" style="30" customWidth="1"/>
    <col min="263" max="263" width="4.42578125" style="30" customWidth="1"/>
    <col min="264" max="264" width="15.85546875" style="30" customWidth="1"/>
    <col min="265" max="265" width="13.7109375" style="30" customWidth="1"/>
    <col min="266" max="266" width="12.28515625" style="30" customWidth="1"/>
    <col min="267" max="267" width="10.140625" style="30" bestFit="1" customWidth="1"/>
    <col min="268" max="269" width="9.140625" style="30"/>
    <col min="270" max="270" width="13.7109375" style="30" customWidth="1"/>
    <col min="271" max="511" width="9.140625" style="30"/>
    <col min="512" max="512" width="3.140625" style="30" customWidth="1"/>
    <col min="513" max="513" width="13.5703125" style="30" customWidth="1"/>
    <col min="514" max="514" width="12.42578125" style="30" bestFit="1" customWidth="1"/>
    <col min="515" max="515" width="9.140625" style="30"/>
    <col min="516" max="516" width="11.7109375" style="30" customWidth="1"/>
    <col min="517" max="517" width="9.140625" style="30" customWidth="1"/>
    <col min="518" max="518" width="6.140625" style="30" customWidth="1"/>
    <col min="519" max="519" width="4.42578125" style="30" customWidth="1"/>
    <col min="520" max="520" width="15.85546875" style="30" customWidth="1"/>
    <col min="521" max="521" width="13.7109375" style="30" customWidth="1"/>
    <col min="522" max="522" width="12.28515625" style="30" customWidth="1"/>
    <col min="523" max="523" width="10.140625" style="30" bestFit="1" customWidth="1"/>
    <col min="524" max="525" width="9.140625" style="30"/>
    <col min="526" max="526" width="13.7109375" style="30" customWidth="1"/>
    <col min="527" max="767" width="9.140625" style="30"/>
    <col min="768" max="768" width="3.140625" style="30" customWidth="1"/>
    <col min="769" max="769" width="13.5703125" style="30" customWidth="1"/>
    <col min="770" max="770" width="12.42578125" style="30" bestFit="1" customWidth="1"/>
    <col min="771" max="771" width="9.140625" style="30"/>
    <col min="772" max="772" width="11.7109375" style="30" customWidth="1"/>
    <col min="773" max="773" width="9.140625" style="30" customWidth="1"/>
    <col min="774" max="774" width="6.140625" style="30" customWidth="1"/>
    <col min="775" max="775" width="4.42578125" style="30" customWidth="1"/>
    <col min="776" max="776" width="15.85546875" style="30" customWidth="1"/>
    <col min="777" max="777" width="13.7109375" style="30" customWidth="1"/>
    <col min="778" max="778" width="12.28515625" style="30" customWidth="1"/>
    <col min="779" max="779" width="10.140625" style="30" bestFit="1" customWidth="1"/>
    <col min="780" max="781" width="9.140625" style="30"/>
    <col min="782" max="782" width="13.7109375" style="30" customWidth="1"/>
    <col min="783" max="1023" width="9.140625" style="30"/>
    <col min="1024" max="1024" width="3.140625" style="30" customWidth="1"/>
    <col min="1025" max="1025" width="13.5703125" style="30" customWidth="1"/>
    <col min="1026" max="1026" width="12.42578125" style="30" bestFit="1" customWidth="1"/>
    <col min="1027" max="1027" width="9.140625" style="30"/>
    <col min="1028" max="1028" width="11.7109375" style="30" customWidth="1"/>
    <col min="1029" max="1029" width="9.140625" style="30" customWidth="1"/>
    <col min="1030" max="1030" width="6.140625" style="30" customWidth="1"/>
    <col min="1031" max="1031" width="4.42578125" style="30" customWidth="1"/>
    <col min="1032" max="1032" width="15.85546875" style="30" customWidth="1"/>
    <col min="1033" max="1033" width="13.7109375" style="30" customWidth="1"/>
    <col min="1034" max="1034" width="12.28515625" style="30" customWidth="1"/>
    <col min="1035" max="1035" width="10.140625" style="30" bestFit="1" customWidth="1"/>
    <col min="1036" max="1037" width="9.140625" style="30"/>
    <col min="1038" max="1038" width="13.7109375" style="30" customWidth="1"/>
    <col min="1039" max="1279" width="9.140625" style="30"/>
    <col min="1280" max="1280" width="3.140625" style="30" customWidth="1"/>
    <col min="1281" max="1281" width="13.5703125" style="30" customWidth="1"/>
    <col min="1282" max="1282" width="12.42578125" style="30" bestFit="1" customWidth="1"/>
    <col min="1283" max="1283" width="9.140625" style="30"/>
    <col min="1284" max="1284" width="11.7109375" style="30" customWidth="1"/>
    <col min="1285" max="1285" width="9.140625" style="30" customWidth="1"/>
    <col min="1286" max="1286" width="6.140625" style="30" customWidth="1"/>
    <col min="1287" max="1287" width="4.42578125" style="30" customWidth="1"/>
    <col min="1288" max="1288" width="15.85546875" style="30" customWidth="1"/>
    <col min="1289" max="1289" width="13.7109375" style="30" customWidth="1"/>
    <col min="1290" max="1290" width="12.28515625" style="30" customWidth="1"/>
    <col min="1291" max="1291" width="10.140625" style="30" bestFit="1" customWidth="1"/>
    <col min="1292" max="1293" width="9.140625" style="30"/>
    <col min="1294" max="1294" width="13.7109375" style="30" customWidth="1"/>
    <col min="1295" max="1535" width="9.140625" style="30"/>
    <col min="1536" max="1536" width="3.140625" style="30" customWidth="1"/>
    <col min="1537" max="1537" width="13.5703125" style="30" customWidth="1"/>
    <col min="1538" max="1538" width="12.42578125" style="30" bestFit="1" customWidth="1"/>
    <col min="1539" max="1539" width="9.140625" style="30"/>
    <col min="1540" max="1540" width="11.7109375" style="30" customWidth="1"/>
    <col min="1541" max="1541" width="9.140625" style="30" customWidth="1"/>
    <col min="1542" max="1542" width="6.140625" style="30" customWidth="1"/>
    <col min="1543" max="1543" width="4.42578125" style="30" customWidth="1"/>
    <col min="1544" max="1544" width="15.85546875" style="30" customWidth="1"/>
    <col min="1545" max="1545" width="13.7109375" style="30" customWidth="1"/>
    <col min="1546" max="1546" width="12.28515625" style="30" customWidth="1"/>
    <col min="1547" max="1547" width="10.140625" style="30" bestFit="1" customWidth="1"/>
    <col min="1548" max="1549" width="9.140625" style="30"/>
    <col min="1550" max="1550" width="13.7109375" style="30" customWidth="1"/>
    <col min="1551" max="1791" width="9.140625" style="30"/>
    <col min="1792" max="1792" width="3.140625" style="30" customWidth="1"/>
    <col min="1793" max="1793" width="13.5703125" style="30" customWidth="1"/>
    <col min="1794" max="1794" width="12.42578125" style="30" bestFit="1" customWidth="1"/>
    <col min="1795" max="1795" width="9.140625" style="30"/>
    <col min="1796" max="1796" width="11.7109375" style="30" customWidth="1"/>
    <col min="1797" max="1797" width="9.140625" style="30" customWidth="1"/>
    <col min="1798" max="1798" width="6.140625" style="30" customWidth="1"/>
    <col min="1799" max="1799" width="4.42578125" style="30" customWidth="1"/>
    <col min="1800" max="1800" width="15.85546875" style="30" customWidth="1"/>
    <col min="1801" max="1801" width="13.7109375" style="30" customWidth="1"/>
    <col min="1802" max="1802" width="12.28515625" style="30" customWidth="1"/>
    <col min="1803" max="1803" width="10.140625" style="30" bestFit="1" customWidth="1"/>
    <col min="1804" max="1805" width="9.140625" style="30"/>
    <col min="1806" max="1806" width="13.7109375" style="30" customWidth="1"/>
    <col min="1807" max="2047" width="9.140625" style="30"/>
    <col min="2048" max="2048" width="3.140625" style="30" customWidth="1"/>
    <col min="2049" max="2049" width="13.5703125" style="30" customWidth="1"/>
    <col min="2050" max="2050" width="12.42578125" style="30" bestFit="1" customWidth="1"/>
    <col min="2051" max="2051" width="9.140625" style="30"/>
    <col min="2052" max="2052" width="11.7109375" style="30" customWidth="1"/>
    <col min="2053" max="2053" width="9.140625" style="30" customWidth="1"/>
    <col min="2054" max="2054" width="6.140625" style="30" customWidth="1"/>
    <col min="2055" max="2055" width="4.42578125" style="30" customWidth="1"/>
    <col min="2056" max="2056" width="15.85546875" style="30" customWidth="1"/>
    <col min="2057" max="2057" width="13.7109375" style="30" customWidth="1"/>
    <col min="2058" max="2058" width="12.28515625" style="30" customWidth="1"/>
    <col min="2059" max="2059" width="10.140625" style="30" bestFit="1" customWidth="1"/>
    <col min="2060" max="2061" width="9.140625" style="30"/>
    <col min="2062" max="2062" width="13.7109375" style="30" customWidth="1"/>
    <col min="2063" max="2303" width="9.140625" style="30"/>
    <col min="2304" max="2304" width="3.140625" style="30" customWidth="1"/>
    <col min="2305" max="2305" width="13.5703125" style="30" customWidth="1"/>
    <col min="2306" max="2306" width="12.42578125" style="30" bestFit="1" customWidth="1"/>
    <col min="2307" max="2307" width="9.140625" style="30"/>
    <col min="2308" max="2308" width="11.7109375" style="30" customWidth="1"/>
    <col min="2309" max="2309" width="9.140625" style="30" customWidth="1"/>
    <col min="2310" max="2310" width="6.140625" style="30" customWidth="1"/>
    <col min="2311" max="2311" width="4.42578125" style="30" customWidth="1"/>
    <col min="2312" max="2312" width="15.85546875" style="30" customWidth="1"/>
    <col min="2313" max="2313" width="13.7109375" style="30" customWidth="1"/>
    <col min="2314" max="2314" width="12.28515625" style="30" customWidth="1"/>
    <col min="2315" max="2315" width="10.140625" style="30" bestFit="1" customWidth="1"/>
    <col min="2316" max="2317" width="9.140625" style="30"/>
    <col min="2318" max="2318" width="13.7109375" style="30" customWidth="1"/>
    <col min="2319" max="2559" width="9.140625" style="30"/>
    <col min="2560" max="2560" width="3.140625" style="30" customWidth="1"/>
    <col min="2561" max="2561" width="13.5703125" style="30" customWidth="1"/>
    <col min="2562" max="2562" width="12.42578125" style="30" bestFit="1" customWidth="1"/>
    <col min="2563" max="2563" width="9.140625" style="30"/>
    <col min="2564" max="2564" width="11.7109375" style="30" customWidth="1"/>
    <col min="2565" max="2565" width="9.140625" style="30" customWidth="1"/>
    <col min="2566" max="2566" width="6.140625" style="30" customWidth="1"/>
    <col min="2567" max="2567" width="4.42578125" style="30" customWidth="1"/>
    <col min="2568" max="2568" width="15.85546875" style="30" customWidth="1"/>
    <col min="2569" max="2569" width="13.7109375" style="30" customWidth="1"/>
    <col min="2570" max="2570" width="12.28515625" style="30" customWidth="1"/>
    <col min="2571" max="2571" width="10.140625" style="30" bestFit="1" customWidth="1"/>
    <col min="2572" max="2573" width="9.140625" style="30"/>
    <col min="2574" max="2574" width="13.7109375" style="30" customWidth="1"/>
    <col min="2575" max="2815" width="9.140625" style="30"/>
    <col min="2816" max="2816" width="3.140625" style="30" customWidth="1"/>
    <col min="2817" max="2817" width="13.5703125" style="30" customWidth="1"/>
    <col min="2818" max="2818" width="12.42578125" style="30" bestFit="1" customWidth="1"/>
    <col min="2819" max="2819" width="9.140625" style="30"/>
    <col min="2820" max="2820" width="11.7109375" style="30" customWidth="1"/>
    <col min="2821" max="2821" width="9.140625" style="30" customWidth="1"/>
    <col min="2822" max="2822" width="6.140625" style="30" customWidth="1"/>
    <col min="2823" max="2823" width="4.42578125" style="30" customWidth="1"/>
    <col min="2824" max="2824" width="15.85546875" style="30" customWidth="1"/>
    <col min="2825" max="2825" width="13.7109375" style="30" customWidth="1"/>
    <col min="2826" max="2826" width="12.28515625" style="30" customWidth="1"/>
    <col min="2827" max="2827" width="10.140625" style="30" bestFit="1" customWidth="1"/>
    <col min="2828" max="2829" width="9.140625" style="30"/>
    <col min="2830" max="2830" width="13.7109375" style="30" customWidth="1"/>
    <col min="2831" max="3071" width="9.140625" style="30"/>
    <col min="3072" max="3072" width="3.140625" style="30" customWidth="1"/>
    <col min="3073" max="3073" width="13.5703125" style="30" customWidth="1"/>
    <col min="3074" max="3074" width="12.42578125" style="30" bestFit="1" customWidth="1"/>
    <col min="3075" max="3075" width="9.140625" style="30"/>
    <col min="3076" max="3076" width="11.7109375" style="30" customWidth="1"/>
    <col min="3077" max="3077" width="9.140625" style="30" customWidth="1"/>
    <col min="3078" max="3078" width="6.140625" style="30" customWidth="1"/>
    <col min="3079" max="3079" width="4.42578125" style="30" customWidth="1"/>
    <col min="3080" max="3080" width="15.85546875" style="30" customWidth="1"/>
    <col min="3081" max="3081" width="13.7109375" style="30" customWidth="1"/>
    <col min="3082" max="3082" width="12.28515625" style="30" customWidth="1"/>
    <col min="3083" max="3083" width="10.140625" style="30" bestFit="1" customWidth="1"/>
    <col min="3084" max="3085" width="9.140625" style="30"/>
    <col min="3086" max="3086" width="13.7109375" style="30" customWidth="1"/>
    <col min="3087" max="3327" width="9.140625" style="30"/>
    <col min="3328" max="3328" width="3.140625" style="30" customWidth="1"/>
    <col min="3329" max="3329" width="13.5703125" style="30" customWidth="1"/>
    <col min="3330" max="3330" width="12.42578125" style="30" bestFit="1" customWidth="1"/>
    <col min="3331" max="3331" width="9.140625" style="30"/>
    <col min="3332" max="3332" width="11.7109375" style="30" customWidth="1"/>
    <col min="3333" max="3333" width="9.140625" style="30" customWidth="1"/>
    <col min="3334" max="3334" width="6.140625" style="30" customWidth="1"/>
    <col min="3335" max="3335" width="4.42578125" style="30" customWidth="1"/>
    <col min="3336" max="3336" width="15.85546875" style="30" customWidth="1"/>
    <col min="3337" max="3337" width="13.7109375" style="30" customWidth="1"/>
    <col min="3338" max="3338" width="12.28515625" style="30" customWidth="1"/>
    <col min="3339" max="3339" width="10.140625" style="30" bestFit="1" customWidth="1"/>
    <col min="3340" max="3341" width="9.140625" style="30"/>
    <col min="3342" max="3342" width="13.7109375" style="30" customWidth="1"/>
    <col min="3343" max="3583" width="9.140625" style="30"/>
    <col min="3584" max="3584" width="3.140625" style="30" customWidth="1"/>
    <col min="3585" max="3585" width="13.5703125" style="30" customWidth="1"/>
    <col min="3586" max="3586" width="12.42578125" style="30" bestFit="1" customWidth="1"/>
    <col min="3587" max="3587" width="9.140625" style="30"/>
    <col min="3588" max="3588" width="11.7109375" style="30" customWidth="1"/>
    <col min="3589" max="3589" width="9.140625" style="30" customWidth="1"/>
    <col min="3590" max="3590" width="6.140625" style="30" customWidth="1"/>
    <col min="3591" max="3591" width="4.42578125" style="30" customWidth="1"/>
    <col min="3592" max="3592" width="15.85546875" style="30" customWidth="1"/>
    <col min="3593" max="3593" width="13.7109375" style="30" customWidth="1"/>
    <col min="3594" max="3594" width="12.28515625" style="30" customWidth="1"/>
    <col min="3595" max="3595" width="10.140625" style="30" bestFit="1" customWidth="1"/>
    <col min="3596" max="3597" width="9.140625" style="30"/>
    <col min="3598" max="3598" width="13.7109375" style="30" customWidth="1"/>
    <col min="3599" max="3839" width="9.140625" style="30"/>
    <col min="3840" max="3840" width="3.140625" style="30" customWidth="1"/>
    <col min="3841" max="3841" width="13.5703125" style="30" customWidth="1"/>
    <col min="3842" max="3842" width="12.42578125" style="30" bestFit="1" customWidth="1"/>
    <col min="3843" max="3843" width="9.140625" style="30"/>
    <col min="3844" max="3844" width="11.7109375" style="30" customWidth="1"/>
    <col min="3845" max="3845" width="9.140625" style="30" customWidth="1"/>
    <col min="3846" max="3846" width="6.140625" style="30" customWidth="1"/>
    <col min="3847" max="3847" width="4.42578125" style="30" customWidth="1"/>
    <col min="3848" max="3848" width="15.85546875" style="30" customWidth="1"/>
    <col min="3849" max="3849" width="13.7109375" style="30" customWidth="1"/>
    <col min="3850" max="3850" width="12.28515625" style="30" customWidth="1"/>
    <col min="3851" max="3851" width="10.140625" style="30" bestFit="1" customWidth="1"/>
    <col min="3852" max="3853" width="9.140625" style="30"/>
    <col min="3854" max="3854" width="13.7109375" style="30" customWidth="1"/>
    <col min="3855" max="4095" width="9.140625" style="30"/>
    <col min="4096" max="4096" width="3.140625" style="30" customWidth="1"/>
    <col min="4097" max="4097" width="13.5703125" style="30" customWidth="1"/>
    <col min="4098" max="4098" width="12.42578125" style="30" bestFit="1" customWidth="1"/>
    <col min="4099" max="4099" width="9.140625" style="30"/>
    <col min="4100" max="4100" width="11.7109375" style="30" customWidth="1"/>
    <col min="4101" max="4101" width="9.140625" style="30" customWidth="1"/>
    <col min="4102" max="4102" width="6.140625" style="30" customWidth="1"/>
    <col min="4103" max="4103" width="4.42578125" style="30" customWidth="1"/>
    <col min="4104" max="4104" width="15.85546875" style="30" customWidth="1"/>
    <col min="4105" max="4105" width="13.7109375" style="30" customWidth="1"/>
    <col min="4106" max="4106" width="12.28515625" style="30" customWidth="1"/>
    <col min="4107" max="4107" width="10.140625" style="30" bestFit="1" customWidth="1"/>
    <col min="4108" max="4109" width="9.140625" style="30"/>
    <col min="4110" max="4110" width="13.7109375" style="30" customWidth="1"/>
    <col min="4111" max="4351" width="9.140625" style="30"/>
    <col min="4352" max="4352" width="3.140625" style="30" customWidth="1"/>
    <col min="4353" max="4353" width="13.5703125" style="30" customWidth="1"/>
    <col min="4354" max="4354" width="12.42578125" style="30" bestFit="1" customWidth="1"/>
    <col min="4355" max="4355" width="9.140625" style="30"/>
    <col min="4356" max="4356" width="11.7109375" style="30" customWidth="1"/>
    <col min="4357" max="4357" width="9.140625" style="30" customWidth="1"/>
    <col min="4358" max="4358" width="6.140625" style="30" customWidth="1"/>
    <col min="4359" max="4359" width="4.42578125" style="30" customWidth="1"/>
    <col min="4360" max="4360" width="15.85546875" style="30" customWidth="1"/>
    <col min="4361" max="4361" width="13.7109375" style="30" customWidth="1"/>
    <col min="4362" max="4362" width="12.28515625" style="30" customWidth="1"/>
    <col min="4363" max="4363" width="10.140625" style="30" bestFit="1" customWidth="1"/>
    <col min="4364" max="4365" width="9.140625" style="30"/>
    <col min="4366" max="4366" width="13.7109375" style="30" customWidth="1"/>
    <col min="4367" max="4607" width="9.140625" style="30"/>
    <col min="4608" max="4608" width="3.140625" style="30" customWidth="1"/>
    <col min="4609" max="4609" width="13.5703125" style="30" customWidth="1"/>
    <col min="4610" max="4610" width="12.42578125" style="30" bestFit="1" customWidth="1"/>
    <col min="4611" max="4611" width="9.140625" style="30"/>
    <col min="4612" max="4612" width="11.7109375" style="30" customWidth="1"/>
    <col min="4613" max="4613" width="9.140625" style="30" customWidth="1"/>
    <col min="4614" max="4614" width="6.140625" style="30" customWidth="1"/>
    <col min="4615" max="4615" width="4.42578125" style="30" customWidth="1"/>
    <col min="4616" max="4616" width="15.85546875" style="30" customWidth="1"/>
    <col min="4617" max="4617" width="13.7109375" style="30" customWidth="1"/>
    <col min="4618" max="4618" width="12.28515625" style="30" customWidth="1"/>
    <col min="4619" max="4619" width="10.140625" style="30" bestFit="1" customWidth="1"/>
    <col min="4620" max="4621" width="9.140625" style="30"/>
    <col min="4622" max="4622" width="13.7109375" style="30" customWidth="1"/>
    <col min="4623" max="4863" width="9.140625" style="30"/>
    <col min="4864" max="4864" width="3.140625" style="30" customWidth="1"/>
    <col min="4865" max="4865" width="13.5703125" style="30" customWidth="1"/>
    <col min="4866" max="4866" width="12.42578125" style="30" bestFit="1" customWidth="1"/>
    <col min="4867" max="4867" width="9.140625" style="30"/>
    <col min="4868" max="4868" width="11.7109375" style="30" customWidth="1"/>
    <col min="4869" max="4869" width="9.140625" style="30" customWidth="1"/>
    <col min="4870" max="4870" width="6.140625" style="30" customWidth="1"/>
    <col min="4871" max="4871" width="4.42578125" style="30" customWidth="1"/>
    <col min="4872" max="4872" width="15.85546875" style="30" customWidth="1"/>
    <col min="4873" max="4873" width="13.7109375" style="30" customWidth="1"/>
    <col min="4874" max="4874" width="12.28515625" style="30" customWidth="1"/>
    <col min="4875" max="4875" width="10.140625" style="30" bestFit="1" customWidth="1"/>
    <col min="4876" max="4877" width="9.140625" style="30"/>
    <col min="4878" max="4878" width="13.7109375" style="30" customWidth="1"/>
    <col min="4879" max="5119" width="9.140625" style="30"/>
    <col min="5120" max="5120" width="3.140625" style="30" customWidth="1"/>
    <col min="5121" max="5121" width="13.5703125" style="30" customWidth="1"/>
    <col min="5122" max="5122" width="12.42578125" style="30" bestFit="1" customWidth="1"/>
    <col min="5123" max="5123" width="9.140625" style="30"/>
    <col min="5124" max="5124" width="11.7109375" style="30" customWidth="1"/>
    <col min="5125" max="5125" width="9.140625" style="30" customWidth="1"/>
    <col min="5126" max="5126" width="6.140625" style="30" customWidth="1"/>
    <col min="5127" max="5127" width="4.42578125" style="30" customWidth="1"/>
    <col min="5128" max="5128" width="15.85546875" style="30" customWidth="1"/>
    <col min="5129" max="5129" width="13.7109375" style="30" customWidth="1"/>
    <col min="5130" max="5130" width="12.28515625" style="30" customWidth="1"/>
    <col min="5131" max="5131" width="10.140625" style="30" bestFit="1" customWidth="1"/>
    <col min="5132" max="5133" width="9.140625" style="30"/>
    <col min="5134" max="5134" width="13.7109375" style="30" customWidth="1"/>
    <col min="5135" max="5375" width="9.140625" style="30"/>
    <col min="5376" max="5376" width="3.140625" style="30" customWidth="1"/>
    <col min="5377" max="5377" width="13.5703125" style="30" customWidth="1"/>
    <col min="5378" max="5378" width="12.42578125" style="30" bestFit="1" customWidth="1"/>
    <col min="5379" max="5379" width="9.140625" style="30"/>
    <col min="5380" max="5380" width="11.7109375" style="30" customWidth="1"/>
    <col min="5381" max="5381" width="9.140625" style="30" customWidth="1"/>
    <col min="5382" max="5382" width="6.140625" style="30" customWidth="1"/>
    <col min="5383" max="5383" width="4.42578125" style="30" customWidth="1"/>
    <col min="5384" max="5384" width="15.85546875" style="30" customWidth="1"/>
    <col min="5385" max="5385" width="13.7109375" style="30" customWidth="1"/>
    <col min="5386" max="5386" width="12.28515625" style="30" customWidth="1"/>
    <col min="5387" max="5387" width="10.140625" style="30" bestFit="1" customWidth="1"/>
    <col min="5388" max="5389" width="9.140625" style="30"/>
    <col min="5390" max="5390" width="13.7109375" style="30" customWidth="1"/>
    <col min="5391" max="5631" width="9.140625" style="30"/>
    <col min="5632" max="5632" width="3.140625" style="30" customWidth="1"/>
    <col min="5633" max="5633" width="13.5703125" style="30" customWidth="1"/>
    <col min="5634" max="5634" width="12.42578125" style="30" bestFit="1" customWidth="1"/>
    <col min="5635" max="5635" width="9.140625" style="30"/>
    <col min="5636" max="5636" width="11.7109375" style="30" customWidth="1"/>
    <col min="5637" max="5637" width="9.140625" style="30" customWidth="1"/>
    <col min="5638" max="5638" width="6.140625" style="30" customWidth="1"/>
    <col min="5639" max="5639" width="4.42578125" style="30" customWidth="1"/>
    <col min="5640" max="5640" width="15.85546875" style="30" customWidth="1"/>
    <col min="5641" max="5641" width="13.7109375" style="30" customWidth="1"/>
    <col min="5642" max="5642" width="12.28515625" style="30" customWidth="1"/>
    <col min="5643" max="5643" width="10.140625" style="30" bestFit="1" customWidth="1"/>
    <col min="5644" max="5645" width="9.140625" style="30"/>
    <col min="5646" max="5646" width="13.7109375" style="30" customWidth="1"/>
    <col min="5647" max="5887" width="9.140625" style="30"/>
    <col min="5888" max="5888" width="3.140625" style="30" customWidth="1"/>
    <col min="5889" max="5889" width="13.5703125" style="30" customWidth="1"/>
    <col min="5890" max="5890" width="12.42578125" style="30" bestFit="1" customWidth="1"/>
    <col min="5891" max="5891" width="9.140625" style="30"/>
    <col min="5892" max="5892" width="11.7109375" style="30" customWidth="1"/>
    <col min="5893" max="5893" width="9.140625" style="30" customWidth="1"/>
    <col min="5894" max="5894" width="6.140625" style="30" customWidth="1"/>
    <col min="5895" max="5895" width="4.42578125" style="30" customWidth="1"/>
    <col min="5896" max="5896" width="15.85546875" style="30" customWidth="1"/>
    <col min="5897" max="5897" width="13.7109375" style="30" customWidth="1"/>
    <col min="5898" max="5898" width="12.28515625" style="30" customWidth="1"/>
    <col min="5899" max="5899" width="10.140625" style="30" bestFit="1" customWidth="1"/>
    <col min="5900" max="5901" width="9.140625" style="30"/>
    <col min="5902" max="5902" width="13.7109375" style="30" customWidth="1"/>
    <col min="5903" max="6143" width="9.140625" style="30"/>
    <col min="6144" max="6144" width="3.140625" style="30" customWidth="1"/>
    <col min="6145" max="6145" width="13.5703125" style="30" customWidth="1"/>
    <col min="6146" max="6146" width="12.42578125" style="30" bestFit="1" customWidth="1"/>
    <col min="6147" max="6147" width="9.140625" style="30"/>
    <col min="6148" max="6148" width="11.7109375" style="30" customWidth="1"/>
    <col min="6149" max="6149" width="9.140625" style="30" customWidth="1"/>
    <col min="6150" max="6150" width="6.140625" style="30" customWidth="1"/>
    <col min="6151" max="6151" width="4.42578125" style="30" customWidth="1"/>
    <col min="6152" max="6152" width="15.85546875" style="30" customWidth="1"/>
    <col min="6153" max="6153" width="13.7109375" style="30" customWidth="1"/>
    <col min="6154" max="6154" width="12.28515625" style="30" customWidth="1"/>
    <col min="6155" max="6155" width="10.140625" style="30" bestFit="1" customWidth="1"/>
    <col min="6156" max="6157" width="9.140625" style="30"/>
    <col min="6158" max="6158" width="13.7109375" style="30" customWidth="1"/>
    <col min="6159" max="6399" width="9.140625" style="30"/>
    <col min="6400" max="6400" width="3.140625" style="30" customWidth="1"/>
    <col min="6401" max="6401" width="13.5703125" style="30" customWidth="1"/>
    <col min="6402" max="6402" width="12.42578125" style="30" bestFit="1" customWidth="1"/>
    <col min="6403" max="6403" width="9.140625" style="30"/>
    <col min="6404" max="6404" width="11.7109375" style="30" customWidth="1"/>
    <col min="6405" max="6405" width="9.140625" style="30" customWidth="1"/>
    <col min="6406" max="6406" width="6.140625" style="30" customWidth="1"/>
    <col min="6407" max="6407" width="4.42578125" style="30" customWidth="1"/>
    <col min="6408" max="6408" width="15.85546875" style="30" customWidth="1"/>
    <col min="6409" max="6409" width="13.7109375" style="30" customWidth="1"/>
    <col min="6410" max="6410" width="12.28515625" style="30" customWidth="1"/>
    <col min="6411" max="6411" width="10.140625" style="30" bestFit="1" customWidth="1"/>
    <col min="6412" max="6413" width="9.140625" style="30"/>
    <col min="6414" max="6414" width="13.7109375" style="30" customWidth="1"/>
    <col min="6415" max="6655" width="9.140625" style="30"/>
    <col min="6656" max="6656" width="3.140625" style="30" customWidth="1"/>
    <col min="6657" max="6657" width="13.5703125" style="30" customWidth="1"/>
    <col min="6658" max="6658" width="12.42578125" style="30" bestFit="1" customWidth="1"/>
    <col min="6659" max="6659" width="9.140625" style="30"/>
    <col min="6660" max="6660" width="11.7109375" style="30" customWidth="1"/>
    <col min="6661" max="6661" width="9.140625" style="30" customWidth="1"/>
    <col min="6662" max="6662" width="6.140625" style="30" customWidth="1"/>
    <col min="6663" max="6663" width="4.42578125" style="30" customWidth="1"/>
    <col min="6664" max="6664" width="15.85546875" style="30" customWidth="1"/>
    <col min="6665" max="6665" width="13.7109375" style="30" customWidth="1"/>
    <col min="6666" max="6666" width="12.28515625" style="30" customWidth="1"/>
    <col min="6667" max="6667" width="10.140625" style="30" bestFit="1" customWidth="1"/>
    <col min="6668" max="6669" width="9.140625" style="30"/>
    <col min="6670" max="6670" width="13.7109375" style="30" customWidth="1"/>
    <col min="6671" max="6911" width="9.140625" style="30"/>
    <col min="6912" max="6912" width="3.140625" style="30" customWidth="1"/>
    <col min="6913" max="6913" width="13.5703125" style="30" customWidth="1"/>
    <col min="6914" max="6914" width="12.42578125" style="30" bestFit="1" customWidth="1"/>
    <col min="6915" max="6915" width="9.140625" style="30"/>
    <col min="6916" max="6916" width="11.7109375" style="30" customWidth="1"/>
    <col min="6917" max="6917" width="9.140625" style="30" customWidth="1"/>
    <col min="6918" max="6918" width="6.140625" style="30" customWidth="1"/>
    <col min="6919" max="6919" width="4.42578125" style="30" customWidth="1"/>
    <col min="6920" max="6920" width="15.85546875" style="30" customWidth="1"/>
    <col min="6921" max="6921" width="13.7109375" style="30" customWidth="1"/>
    <col min="6922" max="6922" width="12.28515625" style="30" customWidth="1"/>
    <col min="6923" max="6923" width="10.140625" style="30" bestFit="1" customWidth="1"/>
    <col min="6924" max="6925" width="9.140625" style="30"/>
    <col min="6926" max="6926" width="13.7109375" style="30" customWidth="1"/>
    <col min="6927" max="7167" width="9.140625" style="30"/>
    <col min="7168" max="7168" width="3.140625" style="30" customWidth="1"/>
    <col min="7169" max="7169" width="13.5703125" style="30" customWidth="1"/>
    <col min="7170" max="7170" width="12.42578125" style="30" bestFit="1" customWidth="1"/>
    <col min="7171" max="7171" width="9.140625" style="30"/>
    <col min="7172" max="7172" width="11.7109375" style="30" customWidth="1"/>
    <col min="7173" max="7173" width="9.140625" style="30" customWidth="1"/>
    <col min="7174" max="7174" width="6.140625" style="30" customWidth="1"/>
    <col min="7175" max="7175" width="4.42578125" style="30" customWidth="1"/>
    <col min="7176" max="7176" width="15.85546875" style="30" customWidth="1"/>
    <col min="7177" max="7177" width="13.7109375" style="30" customWidth="1"/>
    <col min="7178" max="7178" width="12.28515625" style="30" customWidth="1"/>
    <col min="7179" max="7179" width="10.140625" style="30" bestFit="1" customWidth="1"/>
    <col min="7180" max="7181" width="9.140625" style="30"/>
    <col min="7182" max="7182" width="13.7109375" style="30" customWidth="1"/>
    <col min="7183" max="7423" width="9.140625" style="30"/>
    <col min="7424" max="7424" width="3.140625" style="30" customWidth="1"/>
    <col min="7425" max="7425" width="13.5703125" style="30" customWidth="1"/>
    <col min="7426" max="7426" width="12.42578125" style="30" bestFit="1" customWidth="1"/>
    <col min="7427" max="7427" width="9.140625" style="30"/>
    <col min="7428" max="7428" width="11.7109375" style="30" customWidth="1"/>
    <col min="7429" max="7429" width="9.140625" style="30" customWidth="1"/>
    <col min="7430" max="7430" width="6.140625" style="30" customWidth="1"/>
    <col min="7431" max="7431" width="4.42578125" style="30" customWidth="1"/>
    <col min="7432" max="7432" width="15.85546875" style="30" customWidth="1"/>
    <col min="7433" max="7433" width="13.7109375" style="30" customWidth="1"/>
    <col min="7434" max="7434" width="12.28515625" style="30" customWidth="1"/>
    <col min="7435" max="7435" width="10.140625" style="30" bestFit="1" customWidth="1"/>
    <col min="7436" max="7437" width="9.140625" style="30"/>
    <col min="7438" max="7438" width="13.7109375" style="30" customWidth="1"/>
    <col min="7439" max="7679" width="9.140625" style="30"/>
    <col min="7680" max="7680" width="3.140625" style="30" customWidth="1"/>
    <col min="7681" max="7681" width="13.5703125" style="30" customWidth="1"/>
    <col min="7682" max="7682" width="12.42578125" style="30" bestFit="1" customWidth="1"/>
    <col min="7683" max="7683" width="9.140625" style="30"/>
    <col min="7684" max="7684" width="11.7109375" style="30" customWidth="1"/>
    <col min="7685" max="7685" width="9.140625" style="30" customWidth="1"/>
    <col min="7686" max="7686" width="6.140625" style="30" customWidth="1"/>
    <col min="7687" max="7687" width="4.42578125" style="30" customWidth="1"/>
    <col min="7688" max="7688" width="15.85546875" style="30" customWidth="1"/>
    <col min="7689" max="7689" width="13.7109375" style="30" customWidth="1"/>
    <col min="7690" max="7690" width="12.28515625" style="30" customWidth="1"/>
    <col min="7691" max="7691" width="10.140625" style="30" bestFit="1" customWidth="1"/>
    <col min="7692" max="7693" width="9.140625" style="30"/>
    <col min="7694" max="7694" width="13.7109375" style="30" customWidth="1"/>
    <col min="7695" max="7935" width="9.140625" style="30"/>
    <col min="7936" max="7936" width="3.140625" style="30" customWidth="1"/>
    <col min="7937" max="7937" width="13.5703125" style="30" customWidth="1"/>
    <col min="7938" max="7938" width="12.42578125" style="30" bestFit="1" customWidth="1"/>
    <col min="7939" max="7939" width="9.140625" style="30"/>
    <col min="7940" max="7940" width="11.7109375" style="30" customWidth="1"/>
    <col min="7941" max="7941" width="9.140625" style="30" customWidth="1"/>
    <col min="7942" max="7942" width="6.140625" style="30" customWidth="1"/>
    <col min="7943" max="7943" width="4.42578125" style="30" customWidth="1"/>
    <col min="7944" max="7944" width="15.85546875" style="30" customWidth="1"/>
    <col min="7945" max="7945" width="13.7109375" style="30" customWidth="1"/>
    <col min="7946" max="7946" width="12.28515625" style="30" customWidth="1"/>
    <col min="7947" max="7947" width="10.140625" style="30" bestFit="1" customWidth="1"/>
    <col min="7948" max="7949" width="9.140625" style="30"/>
    <col min="7950" max="7950" width="13.7109375" style="30" customWidth="1"/>
    <col min="7951" max="8191" width="9.140625" style="30"/>
    <col min="8192" max="8192" width="3.140625" style="30" customWidth="1"/>
    <col min="8193" max="8193" width="13.5703125" style="30" customWidth="1"/>
    <col min="8194" max="8194" width="12.42578125" style="30" bestFit="1" customWidth="1"/>
    <col min="8195" max="8195" width="9.140625" style="30"/>
    <col min="8196" max="8196" width="11.7109375" style="30" customWidth="1"/>
    <col min="8197" max="8197" width="9.140625" style="30" customWidth="1"/>
    <col min="8198" max="8198" width="6.140625" style="30" customWidth="1"/>
    <col min="8199" max="8199" width="4.42578125" style="30" customWidth="1"/>
    <col min="8200" max="8200" width="15.85546875" style="30" customWidth="1"/>
    <col min="8201" max="8201" width="13.7109375" style="30" customWidth="1"/>
    <col min="8202" max="8202" width="12.28515625" style="30" customWidth="1"/>
    <col min="8203" max="8203" width="10.140625" style="30" bestFit="1" customWidth="1"/>
    <col min="8204" max="8205" width="9.140625" style="30"/>
    <col min="8206" max="8206" width="13.7109375" style="30" customWidth="1"/>
    <col min="8207" max="8447" width="9.140625" style="30"/>
    <col min="8448" max="8448" width="3.140625" style="30" customWidth="1"/>
    <col min="8449" max="8449" width="13.5703125" style="30" customWidth="1"/>
    <col min="8450" max="8450" width="12.42578125" style="30" bestFit="1" customWidth="1"/>
    <col min="8451" max="8451" width="9.140625" style="30"/>
    <col min="8452" max="8452" width="11.7109375" style="30" customWidth="1"/>
    <col min="8453" max="8453" width="9.140625" style="30" customWidth="1"/>
    <col min="8454" max="8454" width="6.140625" style="30" customWidth="1"/>
    <col min="8455" max="8455" width="4.42578125" style="30" customWidth="1"/>
    <col min="8456" max="8456" width="15.85546875" style="30" customWidth="1"/>
    <col min="8457" max="8457" width="13.7109375" style="30" customWidth="1"/>
    <col min="8458" max="8458" width="12.28515625" style="30" customWidth="1"/>
    <col min="8459" max="8459" width="10.140625" style="30" bestFit="1" customWidth="1"/>
    <col min="8460" max="8461" width="9.140625" style="30"/>
    <col min="8462" max="8462" width="13.7109375" style="30" customWidth="1"/>
    <col min="8463" max="8703" width="9.140625" style="30"/>
    <col min="8704" max="8704" width="3.140625" style="30" customWidth="1"/>
    <col min="8705" max="8705" width="13.5703125" style="30" customWidth="1"/>
    <col min="8706" max="8706" width="12.42578125" style="30" bestFit="1" customWidth="1"/>
    <col min="8707" max="8707" width="9.140625" style="30"/>
    <col min="8708" max="8708" width="11.7109375" style="30" customWidth="1"/>
    <col min="8709" max="8709" width="9.140625" style="30" customWidth="1"/>
    <col min="8710" max="8710" width="6.140625" style="30" customWidth="1"/>
    <col min="8711" max="8711" width="4.42578125" style="30" customWidth="1"/>
    <col min="8712" max="8712" width="15.85546875" style="30" customWidth="1"/>
    <col min="8713" max="8713" width="13.7109375" style="30" customWidth="1"/>
    <col min="8714" max="8714" width="12.28515625" style="30" customWidth="1"/>
    <col min="8715" max="8715" width="10.140625" style="30" bestFit="1" customWidth="1"/>
    <col min="8716" max="8717" width="9.140625" style="30"/>
    <col min="8718" max="8718" width="13.7109375" style="30" customWidth="1"/>
    <col min="8719" max="8959" width="9.140625" style="30"/>
    <col min="8960" max="8960" width="3.140625" style="30" customWidth="1"/>
    <col min="8961" max="8961" width="13.5703125" style="30" customWidth="1"/>
    <col min="8962" max="8962" width="12.42578125" style="30" bestFit="1" customWidth="1"/>
    <col min="8963" max="8963" width="9.140625" style="30"/>
    <col min="8964" max="8964" width="11.7109375" style="30" customWidth="1"/>
    <col min="8965" max="8965" width="9.140625" style="30" customWidth="1"/>
    <col min="8966" max="8966" width="6.140625" style="30" customWidth="1"/>
    <col min="8967" max="8967" width="4.42578125" style="30" customWidth="1"/>
    <col min="8968" max="8968" width="15.85546875" style="30" customWidth="1"/>
    <col min="8969" max="8969" width="13.7109375" style="30" customWidth="1"/>
    <col min="8970" max="8970" width="12.28515625" style="30" customWidth="1"/>
    <col min="8971" max="8971" width="10.140625" style="30" bestFit="1" customWidth="1"/>
    <col min="8972" max="8973" width="9.140625" style="30"/>
    <col min="8974" max="8974" width="13.7109375" style="30" customWidth="1"/>
    <col min="8975" max="9215" width="9.140625" style="30"/>
    <col min="9216" max="9216" width="3.140625" style="30" customWidth="1"/>
    <col min="9217" max="9217" width="13.5703125" style="30" customWidth="1"/>
    <col min="9218" max="9218" width="12.42578125" style="30" bestFit="1" customWidth="1"/>
    <col min="9219" max="9219" width="9.140625" style="30"/>
    <col min="9220" max="9220" width="11.7109375" style="30" customWidth="1"/>
    <col min="9221" max="9221" width="9.140625" style="30" customWidth="1"/>
    <col min="9222" max="9222" width="6.140625" style="30" customWidth="1"/>
    <col min="9223" max="9223" width="4.42578125" style="30" customWidth="1"/>
    <col min="9224" max="9224" width="15.85546875" style="30" customWidth="1"/>
    <col min="9225" max="9225" width="13.7109375" style="30" customWidth="1"/>
    <col min="9226" max="9226" width="12.28515625" style="30" customWidth="1"/>
    <col min="9227" max="9227" width="10.140625" style="30" bestFit="1" customWidth="1"/>
    <col min="9228" max="9229" width="9.140625" style="30"/>
    <col min="9230" max="9230" width="13.7109375" style="30" customWidth="1"/>
    <col min="9231" max="9471" width="9.140625" style="30"/>
    <col min="9472" max="9472" width="3.140625" style="30" customWidth="1"/>
    <col min="9473" max="9473" width="13.5703125" style="30" customWidth="1"/>
    <col min="9474" max="9474" width="12.42578125" style="30" bestFit="1" customWidth="1"/>
    <col min="9475" max="9475" width="9.140625" style="30"/>
    <col min="9476" max="9476" width="11.7109375" style="30" customWidth="1"/>
    <col min="9477" max="9477" width="9.140625" style="30" customWidth="1"/>
    <col min="9478" max="9478" width="6.140625" style="30" customWidth="1"/>
    <col min="9479" max="9479" width="4.42578125" style="30" customWidth="1"/>
    <col min="9480" max="9480" width="15.85546875" style="30" customWidth="1"/>
    <col min="9481" max="9481" width="13.7109375" style="30" customWidth="1"/>
    <col min="9482" max="9482" width="12.28515625" style="30" customWidth="1"/>
    <col min="9483" max="9483" width="10.140625" style="30" bestFit="1" customWidth="1"/>
    <col min="9484" max="9485" width="9.140625" style="30"/>
    <col min="9486" max="9486" width="13.7109375" style="30" customWidth="1"/>
    <col min="9487" max="9727" width="9.140625" style="30"/>
    <col min="9728" max="9728" width="3.140625" style="30" customWidth="1"/>
    <col min="9729" max="9729" width="13.5703125" style="30" customWidth="1"/>
    <col min="9730" max="9730" width="12.42578125" style="30" bestFit="1" customWidth="1"/>
    <col min="9731" max="9731" width="9.140625" style="30"/>
    <col min="9732" max="9732" width="11.7109375" style="30" customWidth="1"/>
    <col min="9733" max="9733" width="9.140625" style="30" customWidth="1"/>
    <col min="9734" max="9734" width="6.140625" style="30" customWidth="1"/>
    <col min="9735" max="9735" width="4.42578125" style="30" customWidth="1"/>
    <col min="9736" max="9736" width="15.85546875" style="30" customWidth="1"/>
    <col min="9737" max="9737" width="13.7109375" style="30" customWidth="1"/>
    <col min="9738" max="9738" width="12.28515625" style="30" customWidth="1"/>
    <col min="9739" max="9739" width="10.140625" style="30" bestFit="1" customWidth="1"/>
    <col min="9740" max="9741" width="9.140625" style="30"/>
    <col min="9742" max="9742" width="13.7109375" style="30" customWidth="1"/>
    <col min="9743" max="9983" width="9.140625" style="30"/>
    <col min="9984" max="9984" width="3.140625" style="30" customWidth="1"/>
    <col min="9985" max="9985" width="13.5703125" style="30" customWidth="1"/>
    <col min="9986" max="9986" width="12.42578125" style="30" bestFit="1" customWidth="1"/>
    <col min="9987" max="9987" width="9.140625" style="30"/>
    <col min="9988" max="9988" width="11.7109375" style="30" customWidth="1"/>
    <col min="9989" max="9989" width="9.140625" style="30" customWidth="1"/>
    <col min="9990" max="9990" width="6.140625" style="30" customWidth="1"/>
    <col min="9991" max="9991" width="4.42578125" style="30" customWidth="1"/>
    <col min="9992" max="9992" width="15.85546875" style="30" customWidth="1"/>
    <col min="9993" max="9993" width="13.7109375" style="30" customWidth="1"/>
    <col min="9994" max="9994" width="12.28515625" style="30" customWidth="1"/>
    <col min="9995" max="9995" width="10.140625" style="30" bestFit="1" customWidth="1"/>
    <col min="9996" max="9997" width="9.140625" style="30"/>
    <col min="9998" max="9998" width="13.7109375" style="30" customWidth="1"/>
    <col min="9999" max="10239" width="9.140625" style="30"/>
    <col min="10240" max="10240" width="3.140625" style="30" customWidth="1"/>
    <col min="10241" max="10241" width="13.5703125" style="30" customWidth="1"/>
    <col min="10242" max="10242" width="12.42578125" style="30" bestFit="1" customWidth="1"/>
    <col min="10243" max="10243" width="9.140625" style="30"/>
    <col min="10244" max="10244" width="11.7109375" style="30" customWidth="1"/>
    <col min="10245" max="10245" width="9.140625" style="30" customWidth="1"/>
    <col min="10246" max="10246" width="6.140625" style="30" customWidth="1"/>
    <col min="10247" max="10247" width="4.42578125" style="30" customWidth="1"/>
    <col min="10248" max="10248" width="15.85546875" style="30" customWidth="1"/>
    <col min="10249" max="10249" width="13.7109375" style="30" customWidth="1"/>
    <col min="10250" max="10250" width="12.28515625" style="30" customWidth="1"/>
    <col min="10251" max="10251" width="10.140625" style="30" bestFit="1" customWidth="1"/>
    <col min="10252" max="10253" width="9.140625" style="30"/>
    <col min="10254" max="10254" width="13.7109375" style="30" customWidth="1"/>
    <col min="10255" max="10495" width="9.140625" style="30"/>
    <col min="10496" max="10496" width="3.140625" style="30" customWidth="1"/>
    <col min="10497" max="10497" width="13.5703125" style="30" customWidth="1"/>
    <col min="10498" max="10498" width="12.42578125" style="30" bestFit="1" customWidth="1"/>
    <col min="10499" max="10499" width="9.140625" style="30"/>
    <col min="10500" max="10500" width="11.7109375" style="30" customWidth="1"/>
    <col min="10501" max="10501" width="9.140625" style="30" customWidth="1"/>
    <col min="10502" max="10502" width="6.140625" style="30" customWidth="1"/>
    <col min="10503" max="10503" width="4.42578125" style="30" customWidth="1"/>
    <col min="10504" max="10504" width="15.85546875" style="30" customWidth="1"/>
    <col min="10505" max="10505" width="13.7109375" style="30" customWidth="1"/>
    <col min="10506" max="10506" width="12.28515625" style="30" customWidth="1"/>
    <col min="10507" max="10507" width="10.140625" style="30" bestFit="1" customWidth="1"/>
    <col min="10508" max="10509" width="9.140625" style="30"/>
    <col min="10510" max="10510" width="13.7109375" style="30" customWidth="1"/>
    <col min="10511" max="10751" width="9.140625" style="30"/>
    <col min="10752" max="10752" width="3.140625" style="30" customWidth="1"/>
    <col min="10753" max="10753" width="13.5703125" style="30" customWidth="1"/>
    <col min="10754" max="10754" width="12.42578125" style="30" bestFit="1" customWidth="1"/>
    <col min="10755" max="10755" width="9.140625" style="30"/>
    <col min="10756" max="10756" width="11.7109375" style="30" customWidth="1"/>
    <col min="10757" max="10757" width="9.140625" style="30" customWidth="1"/>
    <col min="10758" max="10758" width="6.140625" style="30" customWidth="1"/>
    <col min="10759" max="10759" width="4.42578125" style="30" customWidth="1"/>
    <col min="10760" max="10760" width="15.85546875" style="30" customWidth="1"/>
    <col min="10761" max="10761" width="13.7109375" style="30" customWidth="1"/>
    <col min="10762" max="10762" width="12.28515625" style="30" customWidth="1"/>
    <col min="10763" max="10763" width="10.140625" style="30" bestFit="1" customWidth="1"/>
    <col min="10764" max="10765" width="9.140625" style="30"/>
    <col min="10766" max="10766" width="13.7109375" style="30" customWidth="1"/>
    <col min="10767" max="11007" width="9.140625" style="30"/>
    <col min="11008" max="11008" width="3.140625" style="30" customWidth="1"/>
    <col min="11009" max="11009" width="13.5703125" style="30" customWidth="1"/>
    <col min="11010" max="11010" width="12.42578125" style="30" bestFit="1" customWidth="1"/>
    <col min="11011" max="11011" width="9.140625" style="30"/>
    <col min="11012" max="11012" width="11.7109375" style="30" customWidth="1"/>
    <col min="11013" max="11013" width="9.140625" style="30" customWidth="1"/>
    <col min="11014" max="11014" width="6.140625" style="30" customWidth="1"/>
    <col min="11015" max="11015" width="4.42578125" style="30" customWidth="1"/>
    <col min="11016" max="11016" width="15.85546875" style="30" customWidth="1"/>
    <col min="11017" max="11017" width="13.7109375" style="30" customWidth="1"/>
    <col min="11018" max="11018" width="12.28515625" style="30" customWidth="1"/>
    <col min="11019" max="11019" width="10.140625" style="30" bestFit="1" customWidth="1"/>
    <col min="11020" max="11021" width="9.140625" style="30"/>
    <col min="11022" max="11022" width="13.7109375" style="30" customWidth="1"/>
    <col min="11023" max="11263" width="9.140625" style="30"/>
    <col min="11264" max="11264" width="3.140625" style="30" customWidth="1"/>
    <col min="11265" max="11265" width="13.5703125" style="30" customWidth="1"/>
    <col min="11266" max="11266" width="12.42578125" style="30" bestFit="1" customWidth="1"/>
    <col min="11267" max="11267" width="9.140625" style="30"/>
    <col min="11268" max="11268" width="11.7109375" style="30" customWidth="1"/>
    <col min="11269" max="11269" width="9.140625" style="30" customWidth="1"/>
    <col min="11270" max="11270" width="6.140625" style="30" customWidth="1"/>
    <col min="11271" max="11271" width="4.42578125" style="30" customWidth="1"/>
    <col min="11272" max="11272" width="15.85546875" style="30" customWidth="1"/>
    <col min="11273" max="11273" width="13.7109375" style="30" customWidth="1"/>
    <col min="11274" max="11274" width="12.28515625" style="30" customWidth="1"/>
    <col min="11275" max="11275" width="10.140625" style="30" bestFit="1" customWidth="1"/>
    <col min="11276" max="11277" width="9.140625" style="30"/>
    <col min="11278" max="11278" width="13.7109375" style="30" customWidth="1"/>
    <col min="11279" max="11519" width="9.140625" style="30"/>
    <col min="11520" max="11520" width="3.140625" style="30" customWidth="1"/>
    <col min="11521" max="11521" width="13.5703125" style="30" customWidth="1"/>
    <col min="11522" max="11522" width="12.42578125" style="30" bestFit="1" customWidth="1"/>
    <col min="11523" max="11523" width="9.140625" style="30"/>
    <col min="11524" max="11524" width="11.7109375" style="30" customWidth="1"/>
    <col min="11525" max="11525" width="9.140625" style="30" customWidth="1"/>
    <col min="11526" max="11526" width="6.140625" style="30" customWidth="1"/>
    <col min="11527" max="11527" width="4.42578125" style="30" customWidth="1"/>
    <col min="11528" max="11528" width="15.85546875" style="30" customWidth="1"/>
    <col min="11529" max="11529" width="13.7109375" style="30" customWidth="1"/>
    <col min="11530" max="11530" width="12.28515625" style="30" customWidth="1"/>
    <col min="11531" max="11531" width="10.140625" style="30" bestFit="1" customWidth="1"/>
    <col min="11532" max="11533" width="9.140625" style="30"/>
    <col min="11534" max="11534" width="13.7109375" style="30" customWidth="1"/>
    <col min="11535" max="11775" width="9.140625" style="30"/>
    <col min="11776" max="11776" width="3.140625" style="30" customWidth="1"/>
    <col min="11777" max="11777" width="13.5703125" style="30" customWidth="1"/>
    <col min="11778" max="11778" width="12.42578125" style="30" bestFit="1" customWidth="1"/>
    <col min="11779" max="11779" width="9.140625" style="30"/>
    <col min="11780" max="11780" width="11.7109375" style="30" customWidth="1"/>
    <col min="11781" max="11781" width="9.140625" style="30" customWidth="1"/>
    <col min="11782" max="11782" width="6.140625" style="30" customWidth="1"/>
    <col min="11783" max="11783" width="4.42578125" style="30" customWidth="1"/>
    <col min="11784" max="11784" width="15.85546875" style="30" customWidth="1"/>
    <col min="11785" max="11785" width="13.7109375" style="30" customWidth="1"/>
    <col min="11786" max="11786" width="12.28515625" style="30" customWidth="1"/>
    <col min="11787" max="11787" width="10.140625" style="30" bestFit="1" customWidth="1"/>
    <col min="11788" max="11789" width="9.140625" style="30"/>
    <col min="11790" max="11790" width="13.7109375" style="30" customWidth="1"/>
    <col min="11791" max="12031" width="9.140625" style="30"/>
    <col min="12032" max="12032" width="3.140625" style="30" customWidth="1"/>
    <col min="12033" max="12033" width="13.5703125" style="30" customWidth="1"/>
    <col min="12034" max="12034" width="12.42578125" style="30" bestFit="1" customWidth="1"/>
    <col min="12035" max="12035" width="9.140625" style="30"/>
    <col min="12036" max="12036" width="11.7109375" style="30" customWidth="1"/>
    <col min="12037" max="12037" width="9.140625" style="30" customWidth="1"/>
    <col min="12038" max="12038" width="6.140625" style="30" customWidth="1"/>
    <col min="12039" max="12039" width="4.42578125" style="30" customWidth="1"/>
    <col min="12040" max="12040" width="15.85546875" style="30" customWidth="1"/>
    <col min="12041" max="12041" width="13.7109375" style="30" customWidth="1"/>
    <col min="12042" max="12042" width="12.28515625" style="30" customWidth="1"/>
    <col min="12043" max="12043" width="10.140625" style="30" bestFit="1" customWidth="1"/>
    <col min="12044" max="12045" width="9.140625" style="30"/>
    <col min="12046" max="12046" width="13.7109375" style="30" customWidth="1"/>
    <col min="12047" max="12287" width="9.140625" style="30"/>
    <col min="12288" max="12288" width="3.140625" style="30" customWidth="1"/>
    <col min="12289" max="12289" width="13.5703125" style="30" customWidth="1"/>
    <col min="12290" max="12290" width="12.42578125" style="30" bestFit="1" customWidth="1"/>
    <col min="12291" max="12291" width="9.140625" style="30"/>
    <col min="12292" max="12292" width="11.7109375" style="30" customWidth="1"/>
    <col min="12293" max="12293" width="9.140625" style="30" customWidth="1"/>
    <col min="12294" max="12294" width="6.140625" style="30" customWidth="1"/>
    <col min="12295" max="12295" width="4.42578125" style="30" customWidth="1"/>
    <col min="12296" max="12296" width="15.85546875" style="30" customWidth="1"/>
    <col min="12297" max="12297" width="13.7109375" style="30" customWidth="1"/>
    <col min="12298" max="12298" width="12.28515625" style="30" customWidth="1"/>
    <col min="12299" max="12299" width="10.140625" style="30" bestFit="1" customWidth="1"/>
    <col min="12300" max="12301" width="9.140625" style="30"/>
    <col min="12302" max="12302" width="13.7109375" style="30" customWidth="1"/>
    <col min="12303" max="12543" width="9.140625" style="30"/>
    <col min="12544" max="12544" width="3.140625" style="30" customWidth="1"/>
    <col min="12545" max="12545" width="13.5703125" style="30" customWidth="1"/>
    <col min="12546" max="12546" width="12.42578125" style="30" bestFit="1" customWidth="1"/>
    <col min="12547" max="12547" width="9.140625" style="30"/>
    <col min="12548" max="12548" width="11.7109375" style="30" customWidth="1"/>
    <col min="12549" max="12549" width="9.140625" style="30" customWidth="1"/>
    <col min="12550" max="12550" width="6.140625" style="30" customWidth="1"/>
    <col min="12551" max="12551" width="4.42578125" style="30" customWidth="1"/>
    <col min="12552" max="12552" width="15.85546875" style="30" customWidth="1"/>
    <col min="12553" max="12553" width="13.7109375" style="30" customWidth="1"/>
    <col min="12554" max="12554" width="12.28515625" style="30" customWidth="1"/>
    <col min="12555" max="12555" width="10.140625" style="30" bestFit="1" customWidth="1"/>
    <col min="12556" max="12557" width="9.140625" style="30"/>
    <col min="12558" max="12558" width="13.7109375" style="30" customWidth="1"/>
    <col min="12559" max="12799" width="9.140625" style="30"/>
    <col min="12800" max="12800" width="3.140625" style="30" customWidth="1"/>
    <col min="12801" max="12801" width="13.5703125" style="30" customWidth="1"/>
    <col min="12802" max="12802" width="12.42578125" style="30" bestFit="1" customWidth="1"/>
    <col min="12803" max="12803" width="9.140625" style="30"/>
    <col min="12804" max="12804" width="11.7109375" style="30" customWidth="1"/>
    <col min="12805" max="12805" width="9.140625" style="30" customWidth="1"/>
    <col min="12806" max="12806" width="6.140625" style="30" customWidth="1"/>
    <col min="12807" max="12807" width="4.42578125" style="30" customWidth="1"/>
    <col min="12808" max="12808" width="15.85546875" style="30" customWidth="1"/>
    <col min="12809" max="12809" width="13.7109375" style="30" customWidth="1"/>
    <col min="12810" max="12810" width="12.28515625" style="30" customWidth="1"/>
    <col min="12811" max="12811" width="10.140625" style="30" bestFit="1" customWidth="1"/>
    <col min="12812" max="12813" width="9.140625" style="30"/>
    <col min="12814" max="12814" width="13.7109375" style="30" customWidth="1"/>
    <col min="12815" max="13055" width="9.140625" style="30"/>
    <col min="13056" max="13056" width="3.140625" style="30" customWidth="1"/>
    <col min="13057" max="13057" width="13.5703125" style="30" customWidth="1"/>
    <col min="13058" max="13058" width="12.42578125" style="30" bestFit="1" customWidth="1"/>
    <col min="13059" max="13059" width="9.140625" style="30"/>
    <col min="13060" max="13060" width="11.7109375" style="30" customWidth="1"/>
    <col min="13061" max="13061" width="9.140625" style="30" customWidth="1"/>
    <col min="13062" max="13062" width="6.140625" style="30" customWidth="1"/>
    <col min="13063" max="13063" width="4.42578125" style="30" customWidth="1"/>
    <col min="13064" max="13064" width="15.85546875" style="30" customWidth="1"/>
    <col min="13065" max="13065" width="13.7109375" style="30" customWidth="1"/>
    <col min="13066" max="13066" width="12.28515625" style="30" customWidth="1"/>
    <col min="13067" max="13067" width="10.140625" style="30" bestFit="1" customWidth="1"/>
    <col min="13068" max="13069" width="9.140625" style="30"/>
    <col min="13070" max="13070" width="13.7109375" style="30" customWidth="1"/>
    <col min="13071" max="13311" width="9.140625" style="30"/>
    <col min="13312" max="13312" width="3.140625" style="30" customWidth="1"/>
    <col min="13313" max="13313" width="13.5703125" style="30" customWidth="1"/>
    <col min="13314" max="13314" width="12.42578125" style="30" bestFit="1" customWidth="1"/>
    <col min="13315" max="13315" width="9.140625" style="30"/>
    <col min="13316" max="13316" width="11.7109375" style="30" customWidth="1"/>
    <col min="13317" max="13317" width="9.140625" style="30" customWidth="1"/>
    <col min="13318" max="13318" width="6.140625" style="30" customWidth="1"/>
    <col min="13319" max="13319" width="4.42578125" style="30" customWidth="1"/>
    <col min="13320" max="13320" width="15.85546875" style="30" customWidth="1"/>
    <col min="13321" max="13321" width="13.7109375" style="30" customWidth="1"/>
    <col min="13322" max="13322" width="12.28515625" style="30" customWidth="1"/>
    <col min="13323" max="13323" width="10.140625" style="30" bestFit="1" customWidth="1"/>
    <col min="13324" max="13325" width="9.140625" style="30"/>
    <col min="13326" max="13326" width="13.7109375" style="30" customWidth="1"/>
    <col min="13327" max="13567" width="9.140625" style="30"/>
    <col min="13568" max="13568" width="3.140625" style="30" customWidth="1"/>
    <col min="13569" max="13569" width="13.5703125" style="30" customWidth="1"/>
    <col min="13570" max="13570" width="12.42578125" style="30" bestFit="1" customWidth="1"/>
    <col min="13571" max="13571" width="9.140625" style="30"/>
    <col min="13572" max="13572" width="11.7109375" style="30" customWidth="1"/>
    <col min="13573" max="13573" width="9.140625" style="30" customWidth="1"/>
    <col min="13574" max="13574" width="6.140625" style="30" customWidth="1"/>
    <col min="13575" max="13575" width="4.42578125" style="30" customWidth="1"/>
    <col min="13576" max="13576" width="15.85546875" style="30" customWidth="1"/>
    <col min="13577" max="13577" width="13.7109375" style="30" customWidth="1"/>
    <col min="13578" max="13578" width="12.28515625" style="30" customWidth="1"/>
    <col min="13579" max="13579" width="10.140625" style="30" bestFit="1" customWidth="1"/>
    <col min="13580" max="13581" width="9.140625" style="30"/>
    <col min="13582" max="13582" width="13.7109375" style="30" customWidth="1"/>
    <col min="13583" max="13823" width="9.140625" style="30"/>
    <col min="13824" max="13824" width="3.140625" style="30" customWidth="1"/>
    <col min="13825" max="13825" width="13.5703125" style="30" customWidth="1"/>
    <col min="13826" max="13826" width="12.42578125" style="30" bestFit="1" customWidth="1"/>
    <col min="13827" max="13827" width="9.140625" style="30"/>
    <col min="13828" max="13828" width="11.7109375" style="30" customWidth="1"/>
    <col min="13829" max="13829" width="9.140625" style="30" customWidth="1"/>
    <col min="13830" max="13830" width="6.140625" style="30" customWidth="1"/>
    <col min="13831" max="13831" width="4.42578125" style="30" customWidth="1"/>
    <col min="13832" max="13832" width="15.85546875" style="30" customWidth="1"/>
    <col min="13833" max="13833" width="13.7109375" style="30" customWidth="1"/>
    <col min="13834" max="13834" width="12.28515625" style="30" customWidth="1"/>
    <col min="13835" max="13835" width="10.140625" style="30" bestFit="1" customWidth="1"/>
    <col min="13836" max="13837" width="9.140625" style="30"/>
    <col min="13838" max="13838" width="13.7109375" style="30" customWidth="1"/>
    <col min="13839" max="14079" width="9.140625" style="30"/>
    <col min="14080" max="14080" width="3.140625" style="30" customWidth="1"/>
    <col min="14081" max="14081" width="13.5703125" style="30" customWidth="1"/>
    <col min="14082" max="14082" width="12.42578125" style="30" bestFit="1" customWidth="1"/>
    <col min="14083" max="14083" width="9.140625" style="30"/>
    <col min="14084" max="14084" width="11.7109375" style="30" customWidth="1"/>
    <col min="14085" max="14085" width="9.140625" style="30" customWidth="1"/>
    <col min="14086" max="14086" width="6.140625" style="30" customWidth="1"/>
    <col min="14087" max="14087" width="4.42578125" style="30" customWidth="1"/>
    <col min="14088" max="14088" width="15.85546875" style="30" customWidth="1"/>
    <col min="14089" max="14089" width="13.7109375" style="30" customWidth="1"/>
    <col min="14090" max="14090" width="12.28515625" style="30" customWidth="1"/>
    <col min="14091" max="14091" width="10.140625" style="30" bestFit="1" customWidth="1"/>
    <col min="14092" max="14093" width="9.140625" style="30"/>
    <col min="14094" max="14094" width="13.7109375" style="30" customWidth="1"/>
    <col min="14095" max="14335" width="9.140625" style="30"/>
    <col min="14336" max="14336" width="3.140625" style="30" customWidth="1"/>
    <col min="14337" max="14337" width="13.5703125" style="30" customWidth="1"/>
    <col min="14338" max="14338" width="12.42578125" style="30" bestFit="1" customWidth="1"/>
    <col min="14339" max="14339" width="9.140625" style="30"/>
    <col min="14340" max="14340" width="11.7109375" style="30" customWidth="1"/>
    <col min="14341" max="14341" width="9.140625" style="30" customWidth="1"/>
    <col min="14342" max="14342" width="6.140625" style="30" customWidth="1"/>
    <col min="14343" max="14343" width="4.42578125" style="30" customWidth="1"/>
    <col min="14344" max="14344" width="15.85546875" style="30" customWidth="1"/>
    <col min="14345" max="14345" width="13.7109375" style="30" customWidth="1"/>
    <col min="14346" max="14346" width="12.28515625" style="30" customWidth="1"/>
    <col min="14347" max="14347" width="10.140625" style="30" bestFit="1" customWidth="1"/>
    <col min="14348" max="14349" width="9.140625" style="30"/>
    <col min="14350" max="14350" width="13.7109375" style="30" customWidth="1"/>
    <col min="14351" max="14591" width="9.140625" style="30"/>
    <col min="14592" max="14592" width="3.140625" style="30" customWidth="1"/>
    <col min="14593" max="14593" width="13.5703125" style="30" customWidth="1"/>
    <col min="14594" max="14594" width="12.42578125" style="30" bestFit="1" customWidth="1"/>
    <col min="14595" max="14595" width="9.140625" style="30"/>
    <col min="14596" max="14596" width="11.7109375" style="30" customWidth="1"/>
    <col min="14597" max="14597" width="9.140625" style="30" customWidth="1"/>
    <col min="14598" max="14598" width="6.140625" style="30" customWidth="1"/>
    <col min="14599" max="14599" width="4.42578125" style="30" customWidth="1"/>
    <col min="14600" max="14600" width="15.85546875" style="30" customWidth="1"/>
    <col min="14601" max="14601" width="13.7109375" style="30" customWidth="1"/>
    <col min="14602" max="14602" width="12.28515625" style="30" customWidth="1"/>
    <col min="14603" max="14603" width="10.140625" style="30" bestFit="1" customWidth="1"/>
    <col min="14604" max="14605" width="9.140625" style="30"/>
    <col min="14606" max="14606" width="13.7109375" style="30" customWidth="1"/>
    <col min="14607" max="14847" width="9.140625" style="30"/>
    <col min="14848" max="14848" width="3.140625" style="30" customWidth="1"/>
    <col min="14849" max="14849" width="13.5703125" style="30" customWidth="1"/>
    <col min="14850" max="14850" width="12.42578125" style="30" bestFit="1" customWidth="1"/>
    <col min="14851" max="14851" width="9.140625" style="30"/>
    <col min="14852" max="14852" width="11.7109375" style="30" customWidth="1"/>
    <col min="14853" max="14853" width="9.140625" style="30" customWidth="1"/>
    <col min="14854" max="14854" width="6.140625" style="30" customWidth="1"/>
    <col min="14855" max="14855" width="4.42578125" style="30" customWidth="1"/>
    <col min="14856" max="14856" width="15.85546875" style="30" customWidth="1"/>
    <col min="14857" max="14857" width="13.7109375" style="30" customWidth="1"/>
    <col min="14858" max="14858" width="12.28515625" style="30" customWidth="1"/>
    <col min="14859" max="14859" width="10.140625" style="30" bestFit="1" customWidth="1"/>
    <col min="14860" max="14861" width="9.140625" style="30"/>
    <col min="14862" max="14862" width="13.7109375" style="30" customWidth="1"/>
    <col min="14863" max="15103" width="9.140625" style="30"/>
    <col min="15104" max="15104" width="3.140625" style="30" customWidth="1"/>
    <col min="15105" max="15105" width="13.5703125" style="30" customWidth="1"/>
    <col min="15106" max="15106" width="12.42578125" style="30" bestFit="1" customWidth="1"/>
    <col min="15107" max="15107" width="9.140625" style="30"/>
    <col min="15108" max="15108" width="11.7109375" style="30" customWidth="1"/>
    <col min="15109" max="15109" width="9.140625" style="30" customWidth="1"/>
    <col min="15110" max="15110" width="6.140625" style="30" customWidth="1"/>
    <col min="15111" max="15111" width="4.42578125" style="30" customWidth="1"/>
    <col min="15112" max="15112" width="15.85546875" style="30" customWidth="1"/>
    <col min="15113" max="15113" width="13.7109375" style="30" customWidth="1"/>
    <col min="15114" max="15114" width="12.28515625" style="30" customWidth="1"/>
    <col min="15115" max="15115" width="10.140625" style="30" bestFit="1" customWidth="1"/>
    <col min="15116" max="15117" width="9.140625" style="30"/>
    <col min="15118" max="15118" width="13.7109375" style="30" customWidth="1"/>
    <col min="15119" max="15359" width="9.140625" style="30"/>
    <col min="15360" max="15360" width="3.140625" style="30" customWidth="1"/>
    <col min="15361" max="15361" width="13.5703125" style="30" customWidth="1"/>
    <col min="15362" max="15362" width="12.42578125" style="30" bestFit="1" customWidth="1"/>
    <col min="15363" max="15363" width="9.140625" style="30"/>
    <col min="15364" max="15364" width="11.7109375" style="30" customWidth="1"/>
    <col min="15365" max="15365" width="9.140625" style="30" customWidth="1"/>
    <col min="15366" max="15366" width="6.140625" style="30" customWidth="1"/>
    <col min="15367" max="15367" width="4.42578125" style="30" customWidth="1"/>
    <col min="15368" max="15368" width="15.85546875" style="30" customWidth="1"/>
    <col min="15369" max="15369" width="13.7109375" style="30" customWidth="1"/>
    <col min="15370" max="15370" width="12.28515625" style="30" customWidth="1"/>
    <col min="15371" max="15371" width="10.140625" style="30" bestFit="1" customWidth="1"/>
    <col min="15372" max="15373" width="9.140625" style="30"/>
    <col min="15374" max="15374" width="13.7109375" style="30" customWidth="1"/>
    <col min="15375" max="15615" width="9.140625" style="30"/>
    <col min="15616" max="15616" width="3.140625" style="30" customWidth="1"/>
    <col min="15617" max="15617" width="13.5703125" style="30" customWidth="1"/>
    <col min="15618" max="15618" width="12.42578125" style="30" bestFit="1" customWidth="1"/>
    <col min="15619" max="15619" width="9.140625" style="30"/>
    <col min="15620" max="15620" width="11.7109375" style="30" customWidth="1"/>
    <col min="15621" max="15621" width="9.140625" style="30" customWidth="1"/>
    <col min="15622" max="15622" width="6.140625" style="30" customWidth="1"/>
    <col min="15623" max="15623" width="4.42578125" style="30" customWidth="1"/>
    <col min="15624" max="15624" width="15.85546875" style="30" customWidth="1"/>
    <col min="15625" max="15625" width="13.7109375" style="30" customWidth="1"/>
    <col min="15626" max="15626" width="12.28515625" style="30" customWidth="1"/>
    <col min="15627" max="15627" width="10.140625" style="30" bestFit="1" customWidth="1"/>
    <col min="15628" max="15629" width="9.140625" style="30"/>
    <col min="15630" max="15630" width="13.7109375" style="30" customWidth="1"/>
    <col min="15631" max="15871" width="9.140625" style="30"/>
    <col min="15872" max="15872" width="3.140625" style="30" customWidth="1"/>
    <col min="15873" max="15873" width="13.5703125" style="30" customWidth="1"/>
    <col min="15874" max="15874" width="12.42578125" style="30" bestFit="1" customWidth="1"/>
    <col min="15875" max="15875" width="9.140625" style="30"/>
    <col min="15876" max="15876" width="11.7109375" style="30" customWidth="1"/>
    <col min="15877" max="15877" width="9.140625" style="30" customWidth="1"/>
    <col min="15878" max="15878" width="6.140625" style="30" customWidth="1"/>
    <col min="15879" max="15879" width="4.42578125" style="30" customWidth="1"/>
    <col min="15880" max="15880" width="15.85546875" style="30" customWidth="1"/>
    <col min="15881" max="15881" width="13.7109375" style="30" customWidth="1"/>
    <col min="15882" max="15882" width="12.28515625" style="30" customWidth="1"/>
    <col min="15883" max="15883" width="10.140625" style="30" bestFit="1" customWidth="1"/>
    <col min="15884" max="15885" width="9.140625" style="30"/>
    <col min="15886" max="15886" width="13.7109375" style="30" customWidth="1"/>
    <col min="15887" max="16127" width="9.140625" style="30"/>
    <col min="16128" max="16128" width="3.140625" style="30" customWidth="1"/>
    <col min="16129" max="16129" width="13.5703125" style="30" customWidth="1"/>
    <col min="16130" max="16130" width="12.42578125" style="30" bestFit="1" customWidth="1"/>
    <col min="16131" max="16131" width="9.140625" style="30"/>
    <col min="16132" max="16132" width="11.7109375" style="30" customWidth="1"/>
    <col min="16133" max="16133" width="9.140625" style="30" customWidth="1"/>
    <col min="16134" max="16134" width="6.140625" style="30" customWidth="1"/>
    <col min="16135" max="16135" width="4.42578125" style="30" customWidth="1"/>
    <col min="16136" max="16136" width="15.85546875" style="30" customWidth="1"/>
    <col min="16137" max="16137" width="13.7109375" style="30" customWidth="1"/>
    <col min="16138" max="16138" width="12.28515625" style="30" customWidth="1"/>
    <col min="16139" max="16139" width="10.140625" style="30" bestFit="1" customWidth="1"/>
    <col min="16140" max="16141" width="9.140625" style="30"/>
    <col min="16142" max="16142" width="13.7109375" style="30" customWidth="1"/>
    <col min="16143" max="16384" width="9.140625" style="30"/>
  </cols>
  <sheetData>
    <row r="1" spans="1:12" ht="68.25" customHeight="1">
      <c r="A1" s="472" t="s">
        <v>114</v>
      </c>
      <c r="B1" s="473"/>
      <c r="C1" s="473"/>
      <c r="D1" s="473"/>
      <c r="E1" s="473"/>
      <c r="F1" s="473"/>
      <c r="G1" s="473"/>
      <c r="H1" s="473"/>
      <c r="I1" s="473"/>
      <c r="J1" s="102"/>
      <c r="K1" s="102"/>
      <c r="L1" s="102"/>
    </row>
    <row r="2" spans="1:12" s="37" customFormat="1" ht="15">
      <c r="A2" s="35" t="s">
        <v>85</v>
      </c>
      <c r="B2" s="36"/>
      <c r="C2" s="36"/>
      <c r="D2" s="36"/>
      <c r="E2" s="36"/>
      <c r="F2" s="36"/>
      <c r="G2" s="110" t="s">
        <v>86</v>
      </c>
      <c r="H2" s="110" t="s">
        <v>87</v>
      </c>
      <c r="I2" s="110" t="s">
        <v>88</v>
      </c>
      <c r="J2" s="47"/>
      <c r="K2" s="47"/>
      <c r="L2" s="47"/>
    </row>
    <row r="3" spans="1:12" s="37" customFormat="1" ht="12" customHeight="1">
      <c r="A3" s="38"/>
      <c r="B3" s="32" t="s">
        <v>106</v>
      </c>
      <c r="C3" s="32"/>
      <c r="D3" s="32"/>
      <c r="E3" s="32"/>
      <c r="F3" s="32"/>
      <c r="G3" s="429">
        <f>INV!F3</f>
        <v>0</v>
      </c>
      <c r="H3" s="431">
        <f ca="1">TODAY()</f>
        <v>44979</v>
      </c>
      <c r="I3" s="429" t="s">
        <v>112</v>
      </c>
      <c r="J3" s="103"/>
      <c r="K3" s="103"/>
      <c r="L3" s="103"/>
    </row>
    <row r="4" spans="1:12" s="37" customFormat="1" ht="15" customHeight="1">
      <c r="A4" s="38"/>
      <c r="B4" s="33" t="s">
        <v>107</v>
      </c>
      <c r="C4" s="33"/>
      <c r="D4" s="32"/>
      <c r="E4" s="32"/>
      <c r="F4" s="32"/>
      <c r="G4" s="430"/>
      <c r="H4" s="432"/>
      <c r="I4" s="430"/>
      <c r="J4" s="103"/>
      <c r="K4" s="103"/>
      <c r="L4" s="103"/>
    </row>
    <row r="5" spans="1:12" s="37" customFormat="1" ht="14.25" customHeight="1">
      <c r="A5" s="38"/>
      <c r="B5" s="32" t="s">
        <v>108</v>
      </c>
      <c r="C5" s="32"/>
      <c r="D5" s="32"/>
      <c r="E5" s="32"/>
      <c r="F5" s="32"/>
      <c r="G5" s="433">
        <f>CARGO!C36</f>
        <v>0</v>
      </c>
      <c r="H5" s="434"/>
      <c r="I5" s="435"/>
      <c r="J5" s="100"/>
      <c r="K5" s="100"/>
      <c r="L5" s="100"/>
    </row>
    <row r="6" spans="1:12" s="37" customFormat="1" ht="15" customHeight="1">
      <c r="A6" s="38"/>
      <c r="B6" s="32" t="s">
        <v>109</v>
      </c>
      <c r="C6" s="32"/>
      <c r="D6" s="32"/>
      <c r="E6" s="32"/>
      <c r="F6" s="32"/>
      <c r="G6" s="436"/>
      <c r="H6" s="437"/>
      <c r="I6" s="438"/>
      <c r="J6" s="100"/>
      <c r="K6" s="100"/>
      <c r="L6" s="100"/>
    </row>
    <row r="7" spans="1:12" s="37" customFormat="1" ht="15" customHeight="1">
      <c r="A7" s="38"/>
      <c r="B7" s="32"/>
      <c r="C7" s="32"/>
      <c r="D7" s="32"/>
      <c r="E7" s="32"/>
      <c r="F7" s="32"/>
      <c r="G7" s="439"/>
      <c r="H7" s="440"/>
      <c r="I7" s="441"/>
      <c r="J7" s="100"/>
      <c r="K7" s="100"/>
      <c r="L7" s="100"/>
    </row>
    <row r="8" spans="1:12" s="37" customFormat="1" ht="18.75" customHeight="1">
      <c r="A8" s="39" t="s">
        <v>111</v>
      </c>
      <c r="B8" s="67"/>
      <c r="C8" s="67"/>
      <c r="D8" s="67"/>
      <c r="E8" s="67"/>
      <c r="F8" s="67"/>
      <c r="G8" s="67"/>
      <c r="H8" s="67"/>
      <c r="I8" s="68"/>
      <c r="J8" s="69"/>
      <c r="K8" s="69"/>
      <c r="L8" s="69"/>
    </row>
    <row r="9" spans="1:12" s="37" customFormat="1" ht="14.25">
      <c r="A9" s="38"/>
      <c r="B9" s="43" t="str">
        <f>INV!B9</f>
        <v/>
      </c>
      <c r="C9" s="43"/>
      <c r="D9" s="45"/>
      <c r="E9" s="69"/>
      <c r="F9" s="69"/>
      <c r="G9" s="69"/>
      <c r="H9" s="69"/>
      <c r="I9" s="70"/>
      <c r="J9" s="69"/>
      <c r="K9" s="69"/>
      <c r="L9" s="69"/>
    </row>
    <row r="10" spans="1:12" s="37" customFormat="1" ht="14.25">
      <c r="A10" s="38"/>
      <c r="B10" s="332" t="str">
        <f>INV!B10</f>
        <v/>
      </c>
      <c r="C10" s="55"/>
      <c r="D10" s="44"/>
      <c r="E10" s="69"/>
      <c r="F10" s="69"/>
      <c r="G10" s="69"/>
      <c r="H10" s="69"/>
      <c r="I10" s="70"/>
      <c r="J10" s="69"/>
      <c r="K10" s="69"/>
      <c r="L10" s="69"/>
    </row>
    <row r="11" spans="1:12" s="37" customFormat="1" ht="14.25">
      <c r="A11" s="38"/>
      <c r="B11" s="332" t="str">
        <f>INV!B11</f>
        <v/>
      </c>
      <c r="C11" s="55"/>
      <c r="D11" s="44"/>
      <c r="E11" s="69"/>
      <c r="F11" s="69"/>
      <c r="G11" s="69"/>
      <c r="H11" s="69"/>
      <c r="I11" s="70"/>
      <c r="J11" s="69"/>
      <c r="K11" s="69"/>
      <c r="L11" s="69"/>
    </row>
    <row r="12" spans="1:12" s="37" customFormat="1" ht="14.25">
      <c r="A12" s="38"/>
      <c r="B12" s="332" t="str">
        <f>INV!B12</f>
        <v/>
      </c>
      <c r="C12" s="55"/>
      <c r="D12" s="44"/>
      <c r="E12" s="69"/>
      <c r="F12" s="69"/>
      <c r="G12" s="69"/>
      <c r="H12" s="69"/>
      <c r="I12" s="70"/>
      <c r="J12" s="69"/>
      <c r="K12" s="69"/>
      <c r="L12" s="69"/>
    </row>
    <row r="13" spans="1:12" s="37" customFormat="1" ht="14.25" customHeight="1">
      <c r="A13" s="38"/>
      <c r="B13" s="45" t="s">
        <v>90</v>
      </c>
      <c r="C13" s="51" t="str">
        <f>INV!C13</f>
        <v/>
      </c>
      <c r="D13" s="51"/>
      <c r="E13" s="69"/>
      <c r="F13" s="69"/>
      <c r="G13" s="69"/>
      <c r="H13" s="69"/>
      <c r="I13" s="70"/>
      <c r="J13" s="69"/>
      <c r="K13" s="69"/>
      <c r="L13" s="69"/>
    </row>
    <row r="14" spans="1:12" s="37" customFormat="1" ht="14.25" customHeight="1">
      <c r="A14" s="38"/>
      <c r="B14" s="34" t="s">
        <v>91</v>
      </c>
      <c r="C14" s="51" t="str">
        <f>INV!C14</f>
        <v/>
      </c>
      <c r="D14" s="51"/>
      <c r="E14" s="69"/>
      <c r="F14" s="69"/>
      <c r="G14" s="69"/>
      <c r="H14" s="69"/>
      <c r="I14" s="70"/>
      <c r="J14" s="69"/>
      <c r="K14" s="69"/>
      <c r="L14" s="69"/>
    </row>
    <row r="15" spans="1:12" s="37" customFormat="1" ht="14.25" customHeight="1">
      <c r="A15" s="38"/>
      <c r="B15" s="32"/>
      <c r="C15" s="32"/>
      <c r="D15" s="32"/>
      <c r="E15" s="71"/>
      <c r="F15" s="71"/>
      <c r="G15" s="71"/>
      <c r="H15" s="71"/>
      <c r="I15" s="72"/>
      <c r="J15" s="69"/>
      <c r="K15" s="69"/>
      <c r="L15" s="69"/>
    </row>
    <row r="16" spans="1:12" s="37" customFormat="1" ht="18.75" customHeight="1" outlineLevel="1">
      <c r="A16" s="39" t="s">
        <v>83</v>
      </c>
      <c r="B16" s="67"/>
      <c r="C16" s="67"/>
      <c r="D16" s="67"/>
      <c r="E16" s="67"/>
      <c r="F16" s="67"/>
      <c r="G16" s="423" t="s">
        <v>89</v>
      </c>
      <c r="H16" s="424"/>
      <c r="I16" s="425"/>
      <c r="J16" s="66"/>
      <c r="K16" s="66"/>
      <c r="L16" s="66"/>
    </row>
    <row r="17" spans="1:12" s="37" customFormat="1" ht="14.25" outlineLevel="1">
      <c r="A17" s="38"/>
      <c r="B17" s="422" t="str">
        <f>INV!B17</f>
        <v/>
      </c>
      <c r="C17" s="422"/>
      <c r="D17" s="422"/>
      <c r="E17" s="33"/>
      <c r="F17" s="33"/>
      <c r="G17" s="62"/>
      <c r="H17" s="33"/>
      <c r="I17" s="40"/>
      <c r="J17" s="33"/>
      <c r="K17" s="33"/>
      <c r="L17" s="33"/>
    </row>
    <row r="18" spans="1:12" s="37" customFormat="1" ht="14.25" outlineLevel="1">
      <c r="A18" s="38"/>
      <c r="B18" s="422" t="str">
        <f>INV!B18</f>
        <v/>
      </c>
      <c r="C18" s="422"/>
      <c r="D18" s="422"/>
      <c r="E18" s="33"/>
      <c r="F18" s="33"/>
      <c r="G18" s="62"/>
      <c r="H18" s="33"/>
      <c r="I18" s="40"/>
      <c r="J18" s="33"/>
      <c r="K18" s="33"/>
      <c r="L18" s="33"/>
    </row>
    <row r="19" spans="1:12" s="37" customFormat="1" ht="14.25" outlineLevel="1">
      <c r="A19" s="38"/>
      <c r="B19" s="422" t="str">
        <f>INV!B19</f>
        <v/>
      </c>
      <c r="C19" s="422"/>
      <c r="D19" s="422"/>
      <c r="E19" s="33"/>
      <c r="F19" s="33"/>
      <c r="G19" s="62"/>
      <c r="H19" s="33"/>
      <c r="I19" s="40"/>
      <c r="J19" s="33"/>
      <c r="K19" s="33"/>
      <c r="L19" s="33"/>
    </row>
    <row r="20" spans="1:12" s="37" customFormat="1" ht="14.25" outlineLevel="1">
      <c r="A20" s="38"/>
      <c r="B20" s="422" t="str">
        <f>INV!B20</f>
        <v/>
      </c>
      <c r="C20" s="422"/>
      <c r="D20" s="422"/>
      <c r="E20" s="33"/>
      <c r="F20" s="33"/>
      <c r="G20" s="62"/>
      <c r="H20" s="33"/>
      <c r="I20" s="40"/>
      <c r="J20" s="33"/>
      <c r="K20" s="33"/>
      <c r="L20" s="33"/>
    </row>
    <row r="21" spans="1:12" s="37" customFormat="1" ht="14.25" outlineLevel="1">
      <c r="A21" s="38"/>
      <c r="B21" s="422" t="str">
        <f>INV!B21</f>
        <v/>
      </c>
      <c r="C21" s="422"/>
      <c r="D21" s="422"/>
      <c r="E21" s="33"/>
      <c r="F21" s="33"/>
      <c r="G21" s="62"/>
      <c r="H21" s="33"/>
      <c r="I21" s="40"/>
      <c r="J21" s="33"/>
      <c r="K21" s="33"/>
      <c r="L21" s="33"/>
    </row>
    <row r="22" spans="1:12" s="37" customFormat="1" ht="14.25" outlineLevel="1">
      <c r="A22" s="38"/>
      <c r="B22" s="422" t="str">
        <f>INV!B22</f>
        <v/>
      </c>
      <c r="C22" s="422"/>
      <c r="D22" s="422"/>
      <c r="E22" s="58"/>
      <c r="F22" s="58"/>
      <c r="G22" s="63"/>
      <c r="H22" s="58"/>
      <c r="I22" s="59"/>
      <c r="J22" s="33"/>
      <c r="K22" s="33"/>
      <c r="L22" s="33"/>
    </row>
    <row r="23" spans="1:12" s="37" customFormat="1" ht="21.75" customHeight="1">
      <c r="A23" s="423" t="s">
        <v>84</v>
      </c>
      <c r="B23" s="424"/>
      <c r="C23" s="424"/>
      <c r="D23" s="424"/>
      <c r="E23" s="423" t="s">
        <v>92</v>
      </c>
      <c r="F23" s="425"/>
      <c r="G23" s="423" t="s">
        <v>93</v>
      </c>
      <c r="H23" s="424"/>
      <c r="I23" s="425"/>
      <c r="J23" s="66"/>
      <c r="K23" s="66"/>
      <c r="L23" s="66"/>
    </row>
    <row r="24" spans="1:12" s="37" customFormat="1" ht="14.25">
      <c r="A24" s="416" t="str">
        <f>INV!A24</f>
        <v>AIR FREIGHT / COURIER</v>
      </c>
      <c r="B24" s="416"/>
      <c r="C24" s="416"/>
      <c r="D24" s="416"/>
      <c r="E24" s="426"/>
      <c r="F24" s="426"/>
      <c r="G24" s="416"/>
      <c r="H24" s="416"/>
      <c r="I24" s="416"/>
      <c r="J24" s="48"/>
      <c r="K24" s="48"/>
      <c r="L24" s="48"/>
    </row>
    <row r="25" spans="1:12" s="37" customFormat="1" ht="14.25">
      <c r="A25" s="416"/>
      <c r="B25" s="416"/>
      <c r="C25" s="416"/>
      <c r="D25" s="416"/>
      <c r="E25" s="426"/>
      <c r="F25" s="426"/>
      <c r="G25" s="416"/>
      <c r="H25" s="416"/>
      <c r="I25" s="416"/>
      <c r="J25" s="48"/>
      <c r="K25" s="48"/>
      <c r="L25" s="48"/>
    </row>
    <row r="26" spans="1:12" s="37" customFormat="1" ht="15">
      <c r="A26" s="408" t="s">
        <v>94</v>
      </c>
      <c r="B26" s="408"/>
      <c r="C26" s="470" t="s">
        <v>95</v>
      </c>
      <c r="D26" s="471"/>
      <c r="E26" s="408" t="s">
        <v>96</v>
      </c>
      <c r="F26" s="408"/>
      <c r="G26" s="408" t="s">
        <v>97</v>
      </c>
      <c r="H26" s="408"/>
      <c r="I26" s="408"/>
      <c r="J26" s="41"/>
      <c r="K26" s="41"/>
      <c r="L26" s="41"/>
    </row>
    <row r="27" spans="1:12" s="37" customFormat="1" ht="14.25">
      <c r="A27" s="416" t="s">
        <v>98</v>
      </c>
      <c r="B27" s="416"/>
      <c r="C27" s="466">
        <f>INV!C27</f>
        <v>0</v>
      </c>
      <c r="D27" s="467"/>
      <c r="E27" s="416"/>
      <c r="F27" s="416"/>
      <c r="G27" s="418"/>
      <c r="H27" s="419"/>
      <c r="I27" s="462"/>
      <c r="J27" s="48"/>
      <c r="K27" s="48"/>
      <c r="L27" s="48"/>
    </row>
    <row r="28" spans="1:12" s="37" customFormat="1" ht="14.25">
      <c r="A28" s="416"/>
      <c r="B28" s="416"/>
      <c r="C28" s="468"/>
      <c r="D28" s="469"/>
      <c r="E28" s="416"/>
      <c r="F28" s="416"/>
      <c r="G28" s="463"/>
      <c r="H28" s="464"/>
      <c r="I28" s="465"/>
      <c r="J28" s="48"/>
      <c r="K28" s="48"/>
      <c r="L28" s="48"/>
    </row>
    <row r="29" spans="1:12" s="37" customFormat="1" ht="12.75" customHeight="1">
      <c r="A29" s="407" t="s">
        <v>99</v>
      </c>
      <c r="B29" s="407"/>
      <c r="C29" s="407"/>
      <c r="D29" s="407"/>
      <c r="E29" s="407"/>
      <c r="F29" s="407"/>
      <c r="G29" s="408" t="s">
        <v>100</v>
      </c>
      <c r="H29" s="408"/>
      <c r="I29" s="408"/>
      <c r="J29" s="41"/>
      <c r="K29" s="41"/>
      <c r="L29" s="41"/>
    </row>
    <row r="30" spans="1:12" s="37" customFormat="1" ht="14.25">
      <c r="A30" s="409" t="str">
        <f>INV!A30</f>
        <v/>
      </c>
      <c r="B30" s="409"/>
      <c r="C30" s="409"/>
      <c r="D30" s="409"/>
      <c r="E30" s="409"/>
      <c r="F30" s="409"/>
      <c r="G30" s="409" t="str">
        <f>A30</f>
        <v/>
      </c>
      <c r="H30" s="409"/>
      <c r="I30" s="409"/>
      <c r="J30" s="48"/>
      <c r="K30" s="48"/>
      <c r="L30" s="48"/>
    </row>
    <row r="31" spans="1:12" s="37" customFormat="1" ht="14.25">
      <c r="A31" s="409"/>
      <c r="B31" s="409"/>
      <c r="C31" s="409"/>
      <c r="D31" s="409"/>
      <c r="E31" s="409"/>
      <c r="F31" s="409"/>
      <c r="G31" s="409"/>
      <c r="H31" s="409"/>
      <c r="I31" s="409"/>
      <c r="J31" s="48"/>
      <c r="K31" s="48"/>
      <c r="L31" s="48"/>
    </row>
    <row r="32" spans="1:12" s="37" customFormat="1" ht="12.75" customHeight="1">
      <c r="A32" s="410" t="s">
        <v>115</v>
      </c>
      <c r="B32" s="411"/>
      <c r="C32" s="411"/>
      <c r="D32" s="411"/>
      <c r="E32" s="412"/>
      <c r="F32" s="403" t="s">
        <v>101</v>
      </c>
      <c r="G32" s="403" t="s">
        <v>66</v>
      </c>
      <c r="H32" s="403" t="s">
        <v>118</v>
      </c>
      <c r="I32" s="403"/>
      <c r="J32" s="61"/>
      <c r="K32" s="61"/>
      <c r="L32" s="61"/>
    </row>
    <row r="33" spans="1:15" s="37" customFormat="1" ht="10.5" customHeight="1">
      <c r="A33" s="413"/>
      <c r="B33" s="414"/>
      <c r="C33" s="414"/>
      <c r="D33" s="414"/>
      <c r="E33" s="415"/>
      <c r="F33" s="404"/>
      <c r="G33" s="404"/>
      <c r="H33" s="404"/>
      <c r="I33" s="404"/>
      <c r="J33" s="61"/>
      <c r="K33" s="61"/>
      <c r="L33" s="61"/>
    </row>
    <row r="34" spans="1:15" s="37" customFormat="1" ht="15">
      <c r="A34" s="120" t="s">
        <v>24</v>
      </c>
      <c r="B34" s="121" t="s">
        <v>102</v>
      </c>
      <c r="C34" s="459" t="s">
        <v>64</v>
      </c>
      <c r="D34" s="406"/>
      <c r="E34" s="460"/>
      <c r="F34" s="122"/>
      <c r="G34" s="122"/>
      <c r="H34" s="459"/>
      <c r="I34" s="461"/>
      <c r="J34" s="90"/>
      <c r="K34" s="90"/>
      <c r="L34" s="90"/>
    </row>
    <row r="35" spans="1:15" s="73" customFormat="1" ht="18.75" customHeight="1">
      <c r="A35" s="96" t="str">
        <f>INV!A35</f>
        <v/>
      </c>
      <c r="B35" s="97" t="str">
        <f>INV!B35</f>
        <v/>
      </c>
      <c r="C35" s="447" t="str">
        <f>INV!C35</f>
        <v/>
      </c>
      <c r="D35" s="448"/>
      <c r="E35" s="449"/>
      <c r="F35" s="98" t="str">
        <f>INV!E35</f>
        <v/>
      </c>
      <c r="G35" s="99" t="str">
        <f>INV!F35</f>
        <v/>
      </c>
      <c r="H35" s="450">
        <f>CARGO!J28</f>
        <v>0</v>
      </c>
      <c r="I35" s="451"/>
      <c r="J35" s="104"/>
      <c r="K35" s="104"/>
      <c r="L35" s="104"/>
      <c r="M35"/>
      <c r="N35"/>
      <c r="O35" s="6"/>
    </row>
    <row r="36" spans="1:15" s="75" customFormat="1" ht="15">
      <c r="A36" s="96" t="str">
        <f>INV!A36</f>
        <v/>
      </c>
      <c r="B36" s="97" t="str">
        <f>INV!B36</f>
        <v/>
      </c>
      <c r="C36" s="447" t="str">
        <f>INV!C36</f>
        <v/>
      </c>
      <c r="D36" s="448"/>
      <c r="E36" s="449"/>
      <c r="F36" s="98" t="str">
        <f>INV!E36</f>
        <v/>
      </c>
      <c r="G36" s="99" t="str">
        <f>INV!F36</f>
        <v/>
      </c>
      <c r="H36" s="452"/>
      <c r="I36" s="453"/>
      <c r="J36" s="105"/>
      <c r="K36" s="105"/>
      <c r="L36" s="105"/>
      <c r="M36"/>
      <c r="N36"/>
      <c r="O36" s="6"/>
    </row>
    <row r="37" spans="1:15" s="73" customFormat="1" ht="15">
      <c r="A37" s="96" t="str">
        <f>INV!A37</f>
        <v/>
      </c>
      <c r="B37" s="97" t="str">
        <f>INV!B37</f>
        <v/>
      </c>
      <c r="C37" s="447" t="str">
        <f>INV!C37</f>
        <v/>
      </c>
      <c r="D37" s="448"/>
      <c r="E37" s="449"/>
      <c r="F37" s="98" t="str">
        <f>INV!E37</f>
        <v/>
      </c>
      <c r="G37" s="99" t="str">
        <f>INV!F37</f>
        <v/>
      </c>
      <c r="H37" s="452"/>
      <c r="I37" s="453"/>
      <c r="J37" s="105"/>
      <c r="K37" s="105"/>
      <c r="L37" s="105"/>
      <c r="M37"/>
      <c r="N37"/>
      <c r="O37" s="6"/>
    </row>
    <row r="38" spans="1:15" s="73" customFormat="1" ht="15">
      <c r="A38" s="96" t="str">
        <f>INV!A38</f>
        <v/>
      </c>
      <c r="B38" s="97" t="str">
        <f>INV!B38</f>
        <v/>
      </c>
      <c r="C38" s="447" t="str">
        <f>INV!C38</f>
        <v/>
      </c>
      <c r="D38" s="448"/>
      <c r="E38" s="449"/>
      <c r="F38" s="98" t="str">
        <f>INV!E38</f>
        <v/>
      </c>
      <c r="G38" s="99" t="str">
        <f>INV!F38</f>
        <v/>
      </c>
      <c r="H38" s="452"/>
      <c r="I38" s="453"/>
      <c r="J38" s="105"/>
      <c r="K38" s="105"/>
      <c r="L38" s="105"/>
      <c r="M38"/>
      <c r="N38"/>
      <c r="O38" s="6"/>
    </row>
    <row r="39" spans="1:15" s="73" customFormat="1" ht="15">
      <c r="A39" s="96" t="str">
        <f>INV!A39</f>
        <v/>
      </c>
      <c r="B39" s="97" t="str">
        <f>INV!B39</f>
        <v/>
      </c>
      <c r="C39" s="447" t="str">
        <f>INV!C39</f>
        <v/>
      </c>
      <c r="D39" s="448"/>
      <c r="E39" s="449"/>
      <c r="F39" s="98" t="str">
        <f>INV!E39</f>
        <v/>
      </c>
      <c r="G39" s="99" t="str">
        <f>INV!F39</f>
        <v/>
      </c>
      <c r="H39" s="452"/>
      <c r="I39" s="453"/>
      <c r="J39" s="105"/>
      <c r="K39" s="105"/>
      <c r="L39" s="105"/>
      <c r="M39"/>
      <c r="N39"/>
      <c r="O39" s="6"/>
    </row>
    <row r="40" spans="1:15" s="73" customFormat="1" ht="15">
      <c r="A40" s="96" t="str">
        <f>INV!A40</f>
        <v/>
      </c>
      <c r="B40" s="97" t="str">
        <f>INV!B40</f>
        <v/>
      </c>
      <c r="C40" s="447" t="str">
        <f>INV!C40</f>
        <v/>
      </c>
      <c r="D40" s="448"/>
      <c r="E40" s="449"/>
      <c r="F40" s="98" t="str">
        <f>INV!E40</f>
        <v/>
      </c>
      <c r="G40" s="99" t="str">
        <f>INV!F40</f>
        <v/>
      </c>
      <c r="H40" s="452"/>
      <c r="I40" s="453"/>
      <c r="J40" s="105"/>
      <c r="K40" s="105"/>
      <c r="L40" s="105"/>
      <c r="M40"/>
      <c r="N40"/>
      <c r="O40" s="6"/>
    </row>
    <row r="41" spans="1:15" s="42" customFormat="1" ht="15">
      <c r="A41" s="96" t="str">
        <f>INV!A41</f>
        <v/>
      </c>
      <c r="B41" s="97" t="str">
        <f>INV!B41</f>
        <v/>
      </c>
      <c r="C41" s="447" t="str">
        <f>INV!C41</f>
        <v/>
      </c>
      <c r="D41" s="448"/>
      <c r="E41" s="449"/>
      <c r="F41" s="98" t="str">
        <f>INV!E41</f>
        <v/>
      </c>
      <c r="G41" s="99" t="str">
        <f>INV!F41</f>
        <v/>
      </c>
      <c r="H41" s="452"/>
      <c r="I41" s="453"/>
      <c r="J41" s="108"/>
      <c r="K41" s="108"/>
      <c r="L41" s="105"/>
      <c r="M41"/>
      <c r="N41"/>
      <c r="O41" s="6"/>
    </row>
    <row r="42" spans="1:15" s="42" customFormat="1" ht="15">
      <c r="A42" s="96" t="str">
        <f>INV!A42</f>
        <v/>
      </c>
      <c r="B42" s="97" t="str">
        <f>INV!B42</f>
        <v/>
      </c>
      <c r="C42" s="447" t="str">
        <f>INV!C42</f>
        <v/>
      </c>
      <c r="D42" s="448"/>
      <c r="E42" s="449"/>
      <c r="F42" s="98" t="str">
        <f>INV!E42</f>
        <v/>
      </c>
      <c r="G42" s="99" t="str">
        <f>INV!F42</f>
        <v/>
      </c>
      <c r="H42" s="452"/>
      <c r="I42" s="453"/>
      <c r="J42" s="108"/>
      <c r="K42" s="108"/>
      <c r="L42" s="106"/>
      <c r="M42"/>
      <c r="N42"/>
      <c r="O42" s="6"/>
    </row>
    <row r="43" spans="1:15" s="42" customFormat="1" ht="15">
      <c r="A43" s="96" t="str">
        <f>INV!A43</f>
        <v/>
      </c>
      <c r="B43" s="97" t="str">
        <f>INV!B43</f>
        <v/>
      </c>
      <c r="C43" s="447" t="str">
        <f>INV!C43</f>
        <v/>
      </c>
      <c r="D43" s="448"/>
      <c r="E43" s="449"/>
      <c r="F43" s="98" t="str">
        <f>INV!E43</f>
        <v/>
      </c>
      <c r="G43" s="99" t="str">
        <f>INV!F43</f>
        <v/>
      </c>
      <c r="H43" s="452"/>
      <c r="I43" s="453"/>
      <c r="J43" s="108"/>
      <c r="K43" s="108"/>
      <c r="L43" s="106"/>
      <c r="M43"/>
      <c r="N43"/>
      <c r="O43" s="6"/>
    </row>
    <row r="44" spans="1:15" s="42" customFormat="1" ht="15">
      <c r="A44" s="96" t="str">
        <f>INV!A44</f>
        <v/>
      </c>
      <c r="B44" s="97" t="str">
        <f>INV!B44</f>
        <v/>
      </c>
      <c r="C44" s="447" t="str">
        <f>INV!C44</f>
        <v/>
      </c>
      <c r="D44" s="448"/>
      <c r="E44" s="449"/>
      <c r="F44" s="98" t="str">
        <f>INV!E44</f>
        <v/>
      </c>
      <c r="G44" s="99" t="str">
        <f>INV!F44</f>
        <v/>
      </c>
      <c r="H44" s="452"/>
      <c r="I44" s="453"/>
      <c r="J44" s="108"/>
      <c r="K44" s="108"/>
      <c r="L44" s="106"/>
      <c r="M44"/>
      <c r="N44"/>
      <c r="O44" s="6"/>
    </row>
    <row r="45" spans="1:15" s="42" customFormat="1" ht="15">
      <c r="A45" s="96" t="str">
        <f>INV!A45</f>
        <v/>
      </c>
      <c r="B45" s="97" t="str">
        <f>INV!B45</f>
        <v/>
      </c>
      <c r="C45" s="447" t="str">
        <f>INV!C45</f>
        <v/>
      </c>
      <c r="D45" s="448"/>
      <c r="E45" s="449"/>
      <c r="F45" s="98" t="str">
        <f>INV!E45</f>
        <v/>
      </c>
      <c r="G45" s="99" t="str">
        <f>INV!F45</f>
        <v/>
      </c>
      <c r="H45" s="452"/>
      <c r="I45" s="453"/>
      <c r="J45" s="108"/>
      <c r="K45" s="108"/>
      <c r="L45" s="106"/>
      <c r="M45"/>
      <c r="N45"/>
      <c r="O45" s="6"/>
    </row>
    <row r="46" spans="1:15" s="42" customFormat="1" ht="15">
      <c r="A46" s="96" t="str">
        <f>INV!A46</f>
        <v/>
      </c>
      <c r="B46" s="97" t="str">
        <f>INV!B46</f>
        <v/>
      </c>
      <c r="C46" s="447" t="str">
        <f>INV!C46</f>
        <v/>
      </c>
      <c r="D46" s="448"/>
      <c r="E46" s="449"/>
      <c r="F46" s="98" t="str">
        <f>INV!E46</f>
        <v/>
      </c>
      <c r="G46" s="99" t="str">
        <f>INV!F46</f>
        <v/>
      </c>
      <c r="H46" s="452"/>
      <c r="I46" s="453"/>
      <c r="J46" s="108"/>
      <c r="K46" s="108"/>
      <c r="L46" s="107"/>
      <c r="M46"/>
      <c r="N46"/>
      <c r="O46" s="6"/>
    </row>
    <row r="47" spans="1:15" s="37" customFormat="1" ht="15">
      <c r="A47" s="96" t="str">
        <f>INV!A47</f>
        <v/>
      </c>
      <c r="B47" s="97" t="str">
        <f>INV!B47</f>
        <v/>
      </c>
      <c r="C47" s="447" t="str">
        <f>INV!C47</f>
        <v/>
      </c>
      <c r="D47" s="448"/>
      <c r="E47" s="449"/>
      <c r="F47" s="98" t="str">
        <f>INV!E47</f>
        <v/>
      </c>
      <c r="G47" s="99" t="str">
        <f>INV!F47</f>
        <v/>
      </c>
      <c r="H47" s="452"/>
      <c r="I47" s="453"/>
      <c r="J47" s="108"/>
      <c r="K47" s="108"/>
      <c r="L47" s="108"/>
      <c r="M47"/>
      <c r="N47"/>
      <c r="O47" s="6"/>
    </row>
    <row r="48" spans="1:15" s="37" customFormat="1" ht="15.75" customHeight="1">
      <c r="A48" s="96" t="str">
        <f>INV!A48</f>
        <v/>
      </c>
      <c r="B48" s="97" t="str">
        <f>INV!B48</f>
        <v/>
      </c>
      <c r="C48" s="447" t="str">
        <f>INV!C48</f>
        <v/>
      </c>
      <c r="D48" s="448"/>
      <c r="E48" s="449"/>
      <c r="F48" s="98" t="str">
        <f>INV!E48</f>
        <v/>
      </c>
      <c r="G48" s="99" t="str">
        <f>INV!F48</f>
        <v/>
      </c>
      <c r="H48" s="452"/>
      <c r="I48" s="453"/>
      <c r="J48" s="108"/>
      <c r="K48" s="108"/>
      <c r="L48" s="107"/>
      <c r="M48"/>
      <c r="N48"/>
      <c r="O48" s="6"/>
    </row>
    <row r="49" spans="1:15" s="37" customFormat="1" ht="15">
      <c r="A49" s="126" t="str">
        <f>INV!A49</f>
        <v/>
      </c>
      <c r="B49" s="286" t="str">
        <f>INV!B49</f>
        <v/>
      </c>
      <c r="C49" s="456" t="str">
        <f>INV!C49</f>
        <v/>
      </c>
      <c r="D49" s="457"/>
      <c r="E49" s="458"/>
      <c r="F49" s="285" t="str">
        <f>INV!E49</f>
        <v/>
      </c>
      <c r="G49" s="283" t="str">
        <f>INV!F49</f>
        <v/>
      </c>
      <c r="H49" s="454"/>
      <c r="I49" s="455"/>
      <c r="J49" s="109"/>
      <c r="K49" s="109"/>
      <c r="L49" s="108"/>
      <c r="M49"/>
      <c r="N49"/>
      <c r="O49" s="6"/>
    </row>
    <row r="50" spans="1:15" s="37" customFormat="1" ht="15">
      <c r="A50" s="118"/>
      <c r="B50" s="41"/>
      <c r="C50" s="287"/>
      <c r="D50" s="41"/>
      <c r="E50" s="287"/>
      <c r="F50" s="119"/>
      <c r="G50" s="284"/>
      <c r="H50" s="56"/>
      <c r="I50" s="56"/>
      <c r="J50" s="56"/>
      <c r="K50" s="56"/>
      <c r="L50" s="57"/>
    </row>
    <row r="51" spans="1:15" s="37" customFormat="1" ht="13.5" customHeight="1">
      <c r="A51" s="118"/>
      <c r="B51" s="442" t="s">
        <v>67</v>
      </c>
      <c r="C51" s="444" t="s">
        <v>70</v>
      </c>
      <c r="D51" s="445"/>
      <c r="E51" s="446"/>
      <c r="G51" s="46"/>
      <c r="H51" s="56"/>
      <c r="I51" s="56"/>
      <c r="J51" s="56"/>
      <c r="K51" s="56"/>
      <c r="L51" s="57"/>
    </row>
    <row r="52" spans="1:15" s="37" customFormat="1" ht="12" customHeight="1">
      <c r="A52" s="118"/>
      <c r="B52" s="443"/>
      <c r="C52" s="135" t="s">
        <v>68</v>
      </c>
      <c r="D52" s="135" t="s">
        <v>69</v>
      </c>
      <c r="E52" s="135" t="s">
        <v>65</v>
      </c>
      <c r="G52" s="46"/>
      <c r="H52" s="56"/>
      <c r="I52" s="56"/>
      <c r="J52" s="56"/>
      <c r="K52" s="56"/>
      <c r="L52" s="57"/>
    </row>
    <row r="53" spans="1:15" s="37" customFormat="1" ht="15">
      <c r="A53" s="118"/>
      <c r="B53" s="135" t="str">
        <f>IF(ISBLANK(CARGO!B27),"",CARGO!B27)</f>
        <v/>
      </c>
      <c r="C53" s="136">
        <f>CARGO!D27</f>
        <v>0</v>
      </c>
      <c r="D53" s="136">
        <f>CARGO!E27</f>
        <v>0</v>
      </c>
      <c r="E53" s="136">
        <f>CARGO!F27</f>
        <v>0</v>
      </c>
      <c r="G53" s="46"/>
      <c r="H53" s="56"/>
      <c r="I53" s="56"/>
      <c r="J53" s="56"/>
      <c r="K53" s="56"/>
      <c r="L53" s="57"/>
    </row>
    <row r="54" spans="1:15" s="37" customFormat="1" ht="15">
      <c r="A54" s="118"/>
      <c r="B54" s="135" t="str">
        <f>IF(ISBLANK(CARGO!B28),"",CARGO!B28)</f>
        <v/>
      </c>
      <c r="C54" s="136">
        <f>CARGO!D28</f>
        <v>0</v>
      </c>
      <c r="D54" s="136">
        <f>CARGO!E28</f>
        <v>0</v>
      </c>
      <c r="E54" s="136">
        <f>CARGO!F28</f>
        <v>0</v>
      </c>
      <c r="G54" s="125" t="s">
        <v>122</v>
      </c>
      <c r="H54" s="56"/>
      <c r="I54" s="131">
        <f>SUM(F35:F49)</f>
        <v>0</v>
      </c>
      <c r="J54" s="56"/>
      <c r="K54" s="56"/>
      <c r="L54" s="57"/>
    </row>
    <row r="55" spans="1:15" s="37" customFormat="1" ht="15">
      <c r="A55" s="118"/>
      <c r="B55" s="135" t="str">
        <f>IF(ISBLANK(CARGO!B29),"",CARGO!B29)</f>
        <v/>
      </c>
      <c r="C55" s="136">
        <f>CARGO!D29</f>
        <v>0</v>
      </c>
      <c r="D55" s="136">
        <f>CARGO!E29</f>
        <v>0</v>
      </c>
      <c r="E55" s="136">
        <f>CARGO!F29</f>
        <v>0</v>
      </c>
      <c r="G55" s="100" t="s">
        <v>233</v>
      </c>
      <c r="H55" s="56"/>
      <c r="I55" s="132">
        <f>CARGO!J28</f>
        <v>0</v>
      </c>
      <c r="J55" s="56"/>
      <c r="K55" s="56"/>
      <c r="L55" s="57"/>
    </row>
    <row r="56" spans="1:15" s="37" customFormat="1" ht="15">
      <c r="A56" s="118"/>
      <c r="B56" s="135" t="str">
        <f>IF(ISBLANK(CARGO!B30),"",CARGO!B30)</f>
        <v/>
      </c>
      <c r="C56" s="136">
        <f>CARGO!D30</f>
        <v>0</v>
      </c>
      <c r="D56" s="136">
        <f>CARGO!E30</f>
        <v>0</v>
      </c>
      <c r="E56" s="136">
        <f>CARGO!F30</f>
        <v>0</v>
      </c>
      <c r="G56" s="125" t="s">
        <v>120</v>
      </c>
      <c r="H56" s="118">
        <f>CARGO!J31</f>
        <v>0</v>
      </c>
      <c r="I56" s="130">
        <f>CARGO!J26</f>
        <v>0</v>
      </c>
      <c r="J56" s="56"/>
      <c r="K56" s="56"/>
      <c r="L56" s="57"/>
    </row>
    <row r="57" spans="1:15" s="37" customFormat="1" ht="15">
      <c r="A57" s="118"/>
      <c r="B57" s="135" t="str">
        <f>IF(ISBLANK(CARGO!B31),"",CARGO!B31)</f>
        <v/>
      </c>
      <c r="C57" s="136">
        <f>CARGO!D31</f>
        <v>0</v>
      </c>
      <c r="D57" s="136">
        <f>CARGO!E31</f>
        <v>0</v>
      </c>
      <c r="E57" s="136">
        <f>CARGO!F31</f>
        <v>0</v>
      </c>
      <c r="G57" s="100" t="s">
        <v>121</v>
      </c>
      <c r="H57" s="56"/>
      <c r="I57" s="133">
        <f>CARGO!J29</f>
        <v>0</v>
      </c>
      <c r="J57" s="56"/>
      <c r="K57" s="56"/>
      <c r="L57" s="57"/>
    </row>
    <row r="58" spans="1:15" s="37" customFormat="1" ht="15">
      <c r="A58" s="118"/>
      <c r="B58" s="22"/>
      <c r="C58" s="123"/>
      <c r="D58" s="123"/>
      <c r="E58" s="123"/>
      <c r="G58" s="46"/>
      <c r="H58" s="56"/>
      <c r="I58" s="56"/>
      <c r="J58" s="56"/>
      <c r="K58" s="56"/>
      <c r="L58" s="57"/>
    </row>
    <row r="59" spans="1:15" s="37" customFormat="1" ht="14.25">
      <c r="A59" s="82"/>
      <c r="B59" s="48"/>
      <c r="C59" s="48"/>
      <c r="D59" s="48"/>
      <c r="E59" s="48"/>
      <c r="F59" s="76"/>
      <c r="G59" s="74"/>
      <c r="H59" s="77"/>
      <c r="I59" s="77"/>
      <c r="J59" s="77"/>
      <c r="K59" s="77"/>
      <c r="L59" s="78"/>
    </row>
    <row r="60" spans="1:15" s="37" customFormat="1" ht="15">
      <c r="A60" s="83" t="s">
        <v>110</v>
      </c>
      <c r="B60" s="32"/>
      <c r="C60" s="32"/>
      <c r="D60" s="48"/>
      <c r="E60" s="48"/>
      <c r="F60" s="76"/>
      <c r="G60" s="74"/>
      <c r="H60" s="77"/>
      <c r="I60" s="77"/>
      <c r="J60" s="77"/>
      <c r="K60" s="77"/>
      <c r="L60" s="78"/>
    </row>
    <row r="61" spans="1:15" s="37" customFormat="1" ht="14.25">
      <c r="A61" s="81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5" s="37" customFormat="1" ht="12" customHeight="1">
      <c r="A62" s="84" t="s">
        <v>113</v>
      </c>
      <c r="B62" s="32"/>
      <c r="C62" s="332">
        <f>INV!C56</f>
        <v>0</v>
      </c>
      <c r="D62" s="32"/>
      <c r="E62" s="32"/>
      <c r="F62" s="32"/>
      <c r="G62" s="32"/>
      <c r="H62" s="32"/>
      <c r="I62" s="32"/>
      <c r="J62" s="32"/>
      <c r="K62" s="32"/>
      <c r="L62" s="32"/>
    </row>
    <row r="63" spans="1:15" s="37" customFormat="1" ht="14.25">
      <c r="A63" s="81">
        <f>CARGO!C5</f>
        <v>0</v>
      </c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5" s="37" customFormat="1" ht="14.25">
      <c r="A64" s="89" t="str">
        <f>IF(G5="No Commercial Value","Value declared for customs clearance purpose only.","")</f>
        <v/>
      </c>
      <c r="B64" s="89"/>
      <c r="C64" s="89"/>
      <c r="D64" s="89"/>
      <c r="E64" s="89"/>
      <c r="F64" s="32"/>
      <c r="G64" s="32"/>
      <c r="H64" s="32"/>
      <c r="I64" s="32"/>
      <c r="J64" s="32"/>
      <c r="K64" s="32"/>
      <c r="L64" s="32"/>
    </row>
    <row r="65" spans="1:12" s="37" customFormat="1" ht="14.25">
      <c r="A65" s="85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s="37" customFormat="1" ht="14.25">
      <c r="A66" s="81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s="37" customFormat="1" ht="14.25">
      <c r="A67" s="81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ht="14.25">
      <c r="A68" s="86"/>
      <c r="B68" s="31"/>
      <c r="C68" s="31"/>
      <c r="D68" s="31"/>
      <c r="E68" s="31"/>
      <c r="F68" s="31"/>
      <c r="G68" s="117" t="s">
        <v>105</v>
      </c>
      <c r="J68" s="79"/>
      <c r="K68" s="79"/>
      <c r="L68" s="31"/>
    </row>
    <row r="69" spans="1:12">
      <c r="A69" s="86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101"/>
    </row>
    <row r="70" spans="1:12">
      <c r="A70" s="87"/>
      <c r="B70" s="88"/>
      <c r="C70" s="88"/>
      <c r="D70" s="88"/>
      <c r="E70" s="88"/>
      <c r="F70" s="88"/>
      <c r="G70" s="88"/>
      <c r="H70" s="88"/>
      <c r="I70" s="88"/>
      <c r="J70" s="31"/>
      <c r="K70" s="31"/>
      <c r="L70" s="31"/>
    </row>
    <row r="71" spans="1:12" s="31" customFormat="1"/>
  </sheetData>
  <customSheetViews>
    <customSheetView guid="{B917A2D9-9544-4879-AB10-D367CD87C30A}" showPageBreaks="1" showGridLines="0" printArea="1" state="hidden" view="pageBreakPreview" topLeftCell="A31">
      <selection activeCell="C36" sqref="C36:E36"/>
      <pageMargins left="1.01" right="0.25" top="0.59" bottom="0.75" header="0.3" footer="0.3"/>
      <pageSetup paperSize="9" scale="70" orientation="portrait" horizontalDpi="300" verticalDpi="300" r:id="rId1"/>
    </customSheetView>
  </customSheetViews>
  <mergeCells count="55">
    <mergeCell ref="A1:I1"/>
    <mergeCell ref="B17:D17"/>
    <mergeCell ref="A23:D23"/>
    <mergeCell ref="E23:F23"/>
    <mergeCell ref="G23:I23"/>
    <mergeCell ref="H3:H4"/>
    <mergeCell ref="G3:G4"/>
    <mergeCell ref="I3:I4"/>
    <mergeCell ref="G16:I16"/>
    <mergeCell ref="G5:I7"/>
    <mergeCell ref="B18:D18"/>
    <mergeCell ref="B19:D19"/>
    <mergeCell ref="B20:D20"/>
    <mergeCell ref="B21:D21"/>
    <mergeCell ref="B22:D22"/>
    <mergeCell ref="A24:D25"/>
    <mergeCell ref="E24:F25"/>
    <mergeCell ref="G24:I25"/>
    <mergeCell ref="A26:B26"/>
    <mergeCell ref="C26:D26"/>
    <mergeCell ref="E26:F26"/>
    <mergeCell ref="G26:I26"/>
    <mergeCell ref="A27:B28"/>
    <mergeCell ref="E27:F28"/>
    <mergeCell ref="G27:I27"/>
    <mergeCell ref="G28:I28"/>
    <mergeCell ref="C27:D28"/>
    <mergeCell ref="C34:E34"/>
    <mergeCell ref="A29:F29"/>
    <mergeCell ref="G29:I29"/>
    <mergeCell ref="A30:F31"/>
    <mergeCell ref="G30:I31"/>
    <mergeCell ref="A32:E33"/>
    <mergeCell ref="F32:F33"/>
    <mergeCell ref="G32:G33"/>
    <mergeCell ref="H32:I33"/>
    <mergeCell ref="H34:I34"/>
    <mergeCell ref="H35:I49"/>
    <mergeCell ref="C48:E48"/>
    <mergeCell ref="C49:E49"/>
    <mergeCell ref="C46:E46"/>
    <mergeCell ref="C47:E47"/>
    <mergeCell ref="C44:E44"/>
    <mergeCell ref="C45:E45"/>
    <mergeCell ref="C43:E43"/>
    <mergeCell ref="B51:B52"/>
    <mergeCell ref="C51:E51"/>
    <mergeCell ref="C35:E35"/>
    <mergeCell ref="C36:E36"/>
    <mergeCell ref="C37:E37"/>
    <mergeCell ref="C38:E38"/>
    <mergeCell ref="C39:E39"/>
    <mergeCell ref="C40:E40"/>
    <mergeCell ref="C41:E41"/>
    <mergeCell ref="C42:E42"/>
  </mergeCells>
  <phoneticPr fontId="39"/>
  <printOptions horizontalCentered="1"/>
  <pageMargins left="0.65" right="0.62992125984251968" top="0.59055118110236227" bottom="0.74803149606299213" header="0.31496062992125984" footer="0.31496062992125984"/>
  <pageSetup paperSize="9" scale="71" fitToWidth="0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PL_print">
                <anchor moveWithCells="1" sizeWithCells="1">
                  <from>
                    <xdr:col>9</xdr:col>
                    <xdr:colOff>381000</xdr:colOff>
                    <xdr:row>0</xdr:row>
                    <xdr:rowOff>276225</xdr:rowOff>
                  </from>
                  <to>
                    <xdr:col>10</xdr:col>
                    <xdr:colOff>752475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TOP PAGE</vt:lpstr>
      <vt:lpstr>CARGO</vt:lpstr>
      <vt:lpstr>DOCS</vt:lpstr>
      <vt:lpstr>LABEL_CARGO</vt:lpstr>
      <vt:lpstr>LABEL_DOCS</vt:lpstr>
      <vt:lpstr>REF</vt:lpstr>
      <vt:lpstr>Summary</vt:lpstr>
      <vt:lpstr>INV</vt:lpstr>
      <vt:lpstr>PL</vt:lpstr>
      <vt:lpstr>Mode</vt:lpstr>
      <vt:lpstr>CARGO!Print_Area</vt:lpstr>
      <vt:lpstr>DOCS!Print_Area</vt:lpstr>
      <vt:lpstr>INV!Print_Area</vt:lpstr>
      <vt:lpstr>LABEL_CARGO!Print_Area</vt:lpstr>
      <vt:lpstr>LABEL_DOCS!Print_Area</vt:lpstr>
      <vt:lpstr>PL!Print_Area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Santos, Nikka (BIPH-SHIP)</dc:creator>
  <cp:lastModifiedBy>Anglo, Ace (BIPH-SHIP)</cp:lastModifiedBy>
  <cp:lastPrinted>2023-02-22T06:02:25Z</cp:lastPrinted>
  <dcterms:created xsi:type="dcterms:W3CDTF">2019-08-13T06:28:28Z</dcterms:created>
  <dcterms:modified xsi:type="dcterms:W3CDTF">2023-02-22T06:02:44Z</dcterms:modified>
</cp:coreProperties>
</file>